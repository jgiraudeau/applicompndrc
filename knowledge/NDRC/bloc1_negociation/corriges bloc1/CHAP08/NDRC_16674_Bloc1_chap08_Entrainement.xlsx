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08/"/>
    </mc:Choice>
  </mc:AlternateContent>
  <xr:revisionPtr revIDLastSave="12" documentId="13_ncr:1_{154AFA07-38DB-4B26-AEB1-2D13426C768E}" xr6:coauthVersionLast="47" xr6:coauthVersionMax="47" xr10:uidLastSave="{DF2E9468-1BCA-4D94-942F-ABD0D21F65AD}"/>
  <bookViews>
    <workbookView xWindow="28680" yWindow="750" windowWidth="25440" windowHeight="15390" xr2:uid="{EF2B337E-5F33-4EAE-8C40-6312F0C85936}"/>
  </bookViews>
  <sheets>
    <sheet name="Exercice 6" sheetId="1" r:id="rId1"/>
  </sheets>
  <definedNames>
    <definedName name="_xlnm._FilterDatabase" localSheetId="0" hidden="1">'Exercice 6'!$A$15:$F$20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B63" i="1" s="1"/>
  <c r="B64" i="1" s="1"/>
  <c r="D53" i="1"/>
  <c r="D54" i="1"/>
  <c r="D55" i="1"/>
  <c r="D51" i="1"/>
  <c r="B34" i="1"/>
  <c r="B35" i="1" s="1"/>
  <c r="G45" i="1"/>
  <c r="B36" i="1"/>
  <c r="D56" i="1" l="1"/>
  <c r="B65" i="1"/>
  <c r="B66" i="1" s="1"/>
  <c r="B67" i="1" s="1"/>
  <c r="B37" i="1"/>
  <c r="G46" i="1"/>
  <c r="G43" i="1"/>
  <c r="G42" i="1"/>
  <c r="G44" i="1"/>
</calcChain>
</file>

<file path=xl/sharedStrings.xml><?xml version="1.0" encoding="utf-8"?>
<sst xmlns="http://schemas.openxmlformats.org/spreadsheetml/2006/main" count="80" uniqueCount="54">
  <si>
    <t>Ressource 1</t>
  </si>
  <si>
    <t>Période de visites de janvier à juin soit en nombre semaines</t>
  </si>
  <si>
    <t>Nombre de semaine de congés</t>
  </si>
  <si>
    <t>Nombre de semaines consacrées à d'autres missions</t>
  </si>
  <si>
    <t>Nombre de visite de présentation</t>
  </si>
  <si>
    <t>Nombre de visite de courtoisie</t>
  </si>
  <si>
    <t>Nombre de visite de vente</t>
  </si>
  <si>
    <t>Durée de la visite de présentation en heures</t>
  </si>
  <si>
    <t>Durée de la visite de courtoisie en heures</t>
  </si>
  <si>
    <t>Durée de la visite de vente en heures</t>
  </si>
  <si>
    <t>Client</t>
  </si>
  <si>
    <t>Commune</t>
  </si>
  <si>
    <t>CA N-1 de l’entreprise cliente</t>
  </si>
  <si>
    <t>Ratio d'autonomie financière</t>
  </si>
  <si>
    <t>Vél’Olonnes</t>
  </si>
  <si>
    <t>Les Sables d’Olonnes</t>
  </si>
  <si>
    <t>Cycle&amp;Roues</t>
  </si>
  <si>
    <t>Jard sur Mer</t>
  </si>
  <si>
    <t>Pierre qui roule</t>
  </si>
  <si>
    <t>La Tranche sur Mer</t>
  </si>
  <si>
    <t>La roue tourne</t>
  </si>
  <si>
    <t>Maillot Jaune</t>
  </si>
  <si>
    <t>La Faute sur Mer</t>
  </si>
  <si>
    <t>Ressource 2</t>
  </si>
  <si>
    <t>Correction</t>
  </si>
  <si>
    <t>Calcul du temps disponible en semaines pour les visites</t>
  </si>
  <si>
    <t>Calcul du  temps disponible en heures pour les visites</t>
  </si>
  <si>
    <t>Calcul du temps nécessaire par client en heures</t>
  </si>
  <si>
    <t>Nombre clients visités par an</t>
  </si>
  <si>
    <t>CA N-1 Cycloyes</t>
  </si>
  <si>
    <t>% potentiel de dévoloppement des ventes en N</t>
  </si>
  <si>
    <t>CA potentiel Cycloyes</t>
  </si>
  <si>
    <t>% potentiel de dévoloppement des vente pour Cycloyes en N</t>
  </si>
  <si>
    <t>Elément de calcul</t>
  </si>
  <si>
    <t>Nombre d’unités</t>
  </si>
  <si>
    <t>Montant unitaire (€)</t>
  </si>
  <si>
    <t>Salaire mensuel dont charges patronales</t>
  </si>
  <si>
    <t>Hébergement</t>
  </si>
  <si>
    <t>Repas</t>
  </si>
  <si>
    <t>Autres frais de vie (remboursement kilométriques…)</t>
  </si>
  <si>
    <t>Frais de gestion commerciale</t>
  </si>
  <si>
    <t>Ressource 3</t>
  </si>
  <si>
    <t>Montants</t>
  </si>
  <si>
    <t>Coût des visites</t>
  </si>
  <si>
    <t>Nombre de points de vente</t>
  </si>
  <si>
    <t>Nombre de visites de courtoisie</t>
  </si>
  <si>
    <t>% de visites de courtoisie</t>
  </si>
  <si>
    <t>Temps de visite en heures</t>
  </si>
  <si>
    <t>Nombre de visites de renouvellement de contrat</t>
  </si>
  <si>
    <t>Temps de visite en heures total</t>
  </si>
  <si>
    <t>Consigne 1</t>
  </si>
  <si>
    <t>Consigne 2</t>
  </si>
  <si>
    <t>Consigne 3</t>
  </si>
  <si>
    <t>Consigne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</si>
</sst>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5" fillId="0" borderId="0" xfId="0" applyFont="1"/>
    <xf numFmtId="9" fontId="0" fillId="0" borderId="0" xfId="2" applyFont="1"/>
    <xf numFmtId="0" fontId="0" fillId="0" borderId="1" xfId="0" applyBorder="1"/>
    <xf numFmtId="9" fontId="0" fillId="0" borderId="1" xfId="2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1" fontId="2" fillId="0" borderId="0" xfId="0" applyNumberFormat="1" applyFont="1"/>
    <xf numFmtId="0" fontId="0" fillId="0" borderId="1" xfId="0" applyBorder="1" applyAlignment="1">
      <alignment horizontal="right" indent="1"/>
    </xf>
    <xf numFmtId="9" fontId="0" fillId="0" borderId="1" xfId="2" applyFont="1" applyBorder="1" applyAlignment="1">
      <alignment horizontal="right" indent="1"/>
    </xf>
    <xf numFmtId="0" fontId="0" fillId="0" borderId="1" xfId="0" applyBorder="1" applyAlignment="1">
      <alignment horizontal="right" indent="2"/>
    </xf>
    <xf numFmtId="0" fontId="2" fillId="0" borderId="1" xfId="0" applyFont="1" applyBorder="1" applyAlignment="1">
      <alignment horizontal="right" indent="2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Border="1"/>
    <xf numFmtId="9" fontId="0" fillId="0" borderId="0" xfId="2" applyFont="1" applyBorder="1"/>
    <xf numFmtId="0" fontId="0" fillId="0" borderId="0" xfId="0" applyFill="1" applyBorder="1"/>
    <xf numFmtId="0" fontId="0" fillId="0" borderId="2" xfId="0" applyBorder="1"/>
    <xf numFmtId="0" fontId="0" fillId="0" borderId="2" xfId="0" applyBorder="1" applyAlignment="1">
      <alignment horizontal="right" indent="2"/>
    </xf>
    <xf numFmtId="0" fontId="2" fillId="0" borderId="1" xfId="0" applyFont="1" applyFill="1" applyBorder="1" applyAlignment="1">
      <alignment horizontal="center" vertical="center"/>
    </xf>
    <xf numFmtId="44" fontId="2" fillId="0" borderId="1" xfId="1" applyFont="1" applyBorder="1"/>
    <xf numFmtId="44" fontId="2" fillId="0" borderId="1" xfId="1" applyFont="1" applyBorder="1" applyAlignment="1">
      <alignment horizontal="right" indent="2"/>
    </xf>
    <xf numFmtId="0" fontId="0" fillId="0" borderId="1" xfId="0" applyFill="1" applyBorder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7611-00D3-4589-8A05-B0DF9EF270EC}">
  <dimension ref="A2:G67"/>
  <sheetViews>
    <sheetView tabSelected="1" topLeftCell="A55" workbookViewId="0">
      <selection activeCell="E33" sqref="E33"/>
    </sheetView>
  </sheetViews>
  <sheetFormatPr baseColWidth="10" defaultRowHeight="15" x14ac:dyDescent="0.25"/>
  <cols>
    <col min="1" max="1" width="40.140625" customWidth="1"/>
    <col min="2" max="2" width="18.28515625" customWidth="1"/>
    <col min="3" max="3" width="18.5703125" customWidth="1"/>
    <col min="4" max="4" width="16" customWidth="1"/>
    <col min="5" max="5" width="18.7109375" customWidth="1"/>
  </cols>
  <sheetData>
    <row r="2" spans="1:6" x14ac:dyDescent="0.25">
      <c r="A2" t="s">
        <v>0</v>
      </c>
    </row>
    <row r="3" spans="1:6" x14ac:dyDescent="0.25">
      <c r="A3" t="s">
        <v>44</v>
      </c>
      <c r="B3">
        <v>56</v>
      </c>
    </row>
    <row r="4" spans="1:6" x14ac:dyDescent="0.25">
      <c r="A4" t="s">
        <v>1</v>
      </c>
      <c r="B4">
        <v>26</v>
      </c>
    </row>
    <row r="5" spans="1:6" x14ac:dyDescent="0.25">
      <c r="A5" t="s">
        <v>2</v>
      </c>
      <c r="B5">
        <v>1.5</v>
      </c>
    </row>
    <row r="6" spans="1:6" x14ac:dyDescent="0.25">
      <c r="A6" t="s">
        <v>3</v>
      </c>
      <c r="B6">
        <v>2</v>
      </c>
    </row>
    <row r="7" spans="1:6" x14ac:dyDescent="0.25">
      <c r="A7" t="s">
        <v>4</v>
      </c>
      <c r="B7">
        <v>1</v>
      </c>
    </row>
    <row r="8" spans="1:6" x14ac:dyDescent="0.25">
      <c r="A8" t="s">
        <v>5</v>
      </c>
      <c r="B8">
        <v>2</v>
      </c>
    </row>
    <row r="9" spans="1:6" x14ac:dyDescent="0.25">
      <c r="A9" t="s">
        <v>6</v>
      </c>
      <c r="B9">
        <v>1</v>
      </c>
    </row>
    <row r="10" spans="1:6" x14ac:dyDescent="0.25">
      <c r="A10" t="s">
        <v>7</v>
      </c>
      <c r="B10">
        <v>2</v>
      </c>
    </row>
    <row r="11" spans="1:6" x14ac:dyDescent="0.25">
      <c r="A11" t="s">
        <v>8</v>
      </c>
      <c r="B11">
        <v>0.5</v>
      </c>
    </row>
    <row r="12" spans="1:6" x14ac:dyDescent="0.25">
      <c r="A12" t="s">
        <v>9</v>
      </c>
      <c r="B12">
        <v>1.2</v>
      </c>
    </row>
    <row r="14" spans="1:6" x14ac:dyDescent="0.25">
      <c r="A14" t="s">
        <v>23</v>
      </c>
    </row>
    <row r="15" spans="1:6" ht="60" x14ac:dyDescent="0.25">
      <c r="A15" s="16" t="s">
        <v>10</v>
      </c>
      <c r="B15" s="16" t="s">
        <v>11</v>
      </c>
      <c r="C15" s="16" t="s">
        <v>12</v>
      </c>
      <c r="D15" s="16" t="s">
        <v>29</v>
      </c>
      <c r="E15" s="16" t="s">
        <v>32</v>
      </c>
      <c r="F15" s="16" t="s">
        <v>13</v>
      </c>
    </row>
    <row r="16" spans="1:6" x14ac:dyDescent="0.25">
      <c r="A16" s="6" t="s">
        <v>16</v>
      </c>
      <c r="B16" s="6" t="s">
        <v>17</v>
      </c>
      <c r="C16" s="6">
        <v>49750</v>
      </c>
      <c r="D16" s="6">
        <v>12500</v>
      </c>
      <c r="E16" s="7">
        <v>0.1</v>
      </c>
      <c r="F16" s="6">
        <v>1.6</v>
      </c>
    </row>
    <row r="17" spans="1:6" x14ac:dyDescent="0.25">
      <c r="A17" s="6" t="s">
        <v>20</v>
      </c>
      <c r="B17" s="6" t="s">
        <v>15</v>
      </c>
      <c r="C17" s="6">
        <v>516200</v>
      </c>
      <c r="D17" s="6">
        <v>2500</v>
      </c>
      <c r="E17" s="7">
        <v>3</v>
      </c>
      <c r="F17" s="6">
        <v>1.03</v>
      </c>
    </row>
    <row r="18" spans="1:6" x14ac:dyDescent="0.25">
      <c r="A18" s="6" t="s">
        <v>21</v>
      </c>
      <c r="B18" s="6" t="s">
        <v>22</v>
      </c>
      <c r="C18" s="6">
        <v>471000</v>
      </c>
      <c r="D18" s="6">
        <v>8300</v>
      </c>
      <c r="E18" s="7">
        <v>0.1</v>
      </c>
      <c r="F18" s="6">
        <v>1.1000000000000001</v>
      </c>
    </row>
    <row r="19" spans="1:6" x14ac:dyDescent="0.25">
      <c r="A19" s="6" t="s">
        <v>18</v>
      </c>
      <c r="B19" s="6" t="s">
        <v>19</v>
      </c>
      <c r="C19" s="6">
        <v>97500</v>
      </c>
      <c r="D19" s="6">
        <v>10500</v>
      </c>
      <c r="E19" s="7">
        <v>0.05</v>
      </c>
      <c r="F19" s="6">
        <v>0.87</v>
      </c>
    </row>
    <row r="20" spans="1:6" x14ac:dyDescent="0.25">
      <c r="A20" s="6" t="s">
        <v>14</v>
      </c>
      <c r="B20" s="6" t="s">
        <v>15</v>
      </c>
      <c r="C20" s="6">
        <v>348100</v>
      </c>
      <c r="D20" s="6">
        <v>8000</v>
      </c>
      <c r="E20" s="7">
        <v>0.2</v>
      </c>
      <c r="F20" s="6">
        <v>1.5</v>
      </c>
    </row>
    <row r="21" spans="1:6" x14ac:dyDescent="0.25">
      <c r="A21" s="18"/>
      <c r="B21" s="18"/>
      <c r="C21" s="18"/>
      <c r="D21" s="18"/>
      <c r="E21" s="19"/>
      <c r="F21" s="18"/>
    </row>
    <row r="22" spans="1:6" x14ac:dyDescent="0.25">
      <c r="A22" s="20" t="s">
        <v>41</v>
      </c>
    </row>
    <row r="23" spans="1:6" x14ac:dyDescent="0.25">
      <c r="A23" s="6" t="s">
        <v>33</v>
      </c>
      <c r="B23" s="6" t="s">
        <v>34</v>
      </c>
      <c r="C23" s="6" t="s">
        <v>35</v>
      </c>
    </row>
    <row r="24" spans="1:6" x14ac:dyDescent="0.25">
      <c r="A24" s="6" t="s">
        <v>36</v>
      </c>
      <c r="B24" s="6">
        <v>0.25</v>
      </c>
      <c r="C24" s="6">
        <v>2800</v>
      </c>
    </row>
    <row r="25" spans="1:6" x14ac:dyDescent="0.25">
      <c r="A25" s="6" t="s">
        <v>37</v>
      </c>
      <c r="B25" s="6">
        <v>5</v>
      </c>
      <c r="C25" s="6">
        <v>420</v>
      </c>
    </row>
    <row r="26" spans="1:6" x14ac:dyDescent="0.25">
      <c r="A26" s="6" t="s">
        <v>38</v>
      </c>
      <c r="B26" s="6">
        <v>10</v>
      </c>
      <c r="C26" s="6">
        <v>15</v>
      </c>
    </row>
    <row r="27" spans="1:6" x14ac:dyDescent="0.25">
      <c r="A27" s="6" t="s">
        <v>39</v>
      </c>
      <c r="B27" s="6">
        <v>1</v>
      </c>
      <c r="C27" s="6">
        <v>104</v>
      </c>
    </row>
    <row r="28" spans="1:6" x14ac:dyDescent="0.25">
      <c r="A28" s="6" t="s">
        <v>40</v>
      </c>
      <c r="B28" s="6">
        <v>56</v>
      </c>
      <c r="C28" s="6">
        <v>5</v>
      </c>
    </row>
    <row r="29" spans="1:6" x14ac:dyDescent="0.25">
      <c r="A29" s="17"/>
      <c r="B29" s="1"/>
      <c r="C29" s="1"/>
    </row>
    <row r="30" spans="1:6" x14ac:dyDescent="0.25">
      <c r="A30" s="4" t="s">
        <v>24</v>
      </c>
    </row>
    <row r="31" spans="1:6" x14ac:dyDescent="0.25">
      <c r="A31" s="4"/>
    </row>
    <row r="32" spans="1:6" x14ac:dyDescent="0.25">
      <c r="A32" s="2" t="s">
        <v>50</v>
      </c>
    </row>
    <row r="33" spans="1:7" x14ac:dyDescent="0.25">
      <c r="A33" s="2"/>
    </row>
    <row r="34" spans="1:7" x14ac:dyDescent="0.25">
      <c r="A34" s="3" t="s">
        <v>25</v>
      </c>
      <c r="B34" s="3">
        <f>B4-B5-B6</f>
        <v>22.5</v>
      </c>
    </row>
    <row r="35" spans="1:7" x14ac:dyDescent="0.25">
      <c r="A35" s="3" t="s">
        <v>26</v>
      </c>
      <c r="B35" s="3">
        <f>B34*35</f>
        <v>787.5</v>
      </c>
    </row>
    <row r="36" spans="1:7" x14ac:dyDescent="0.25">
      <c r="A36" s="3" t="s">
        <v>27</v>
      </c>
      <c r="B36" s="3">
        <f>B7*B10+B8*B11+B9*B12</f>
        <v>4.2</v>
      </c>
    </row>
    <row r="37" spans="1:7" x14ac:dyDescent="0.25">
      <c r="A37" s="3" t="s">
        <v>28</v>
      </c>
      <c r="B37" s="11">
        <f>B35/B36</f>
        <v>187.5</v>
      </c>
    </row>
    <row r="39" spans="1:7" x14ac:dyDescent="0.25">
      <c r="A39" s="2" t="s">
        <v>51</v>
      </c>
    </row>
    <row r="41" spans="1:7" ht="60" x14ac:dyDescent="0.25">
      <c r="A41" s="9" t="s">
        <v>10</v>
      </c>
      <c r="B41" s="9" t="s">
        <v>11</v>
      </c>
      <c r="C41" s="9" t="s">
        <v>12</v>
      </c>
      <c r="D41" s="9" t="s">
        <v>29</v>
      </c>
      <c r="E41" s="9" t="s">
        <v>30</v>
      </c>
      <c r="F41" s="9" t="s">
        <v>13</v>
      </c>
      <c r="G41" s="10" t="s">
        <v>31</v>
      </c>
    </row>
    <row r="42" spans="1:7" x14ac:dyDescent="0.25">
      <c r="A42" s="6" t="s">
        <v>16</v>
      </c>
      <c r="B42" s="6" t="s">
        <v>17</v>
      </c>
      <c r="C42" s="12">
        <v>49750</v>
      </c>
      <c r="D42" s="12">
        <v>12500</v>
      </c>
      <c r="E42" s="13">
        <v>0.1</v>
      </c>
      <c r="F42" s="12">
        <v>1.6</v>
      </c>
      <c r="G42" s="15">
        <f>D42*(1+E42)</f>
        <v>13750.000000000002</v>
      </c>
    </row>
    <row r="43" spans="1:7" x14ac:dyDescent="0.25">
      <c r="A43" s="6" t="s">
        <v>18</v>
      </c>
      <c r="B43" s="6" t="s">
        <v>19</v>
      </c>
      <c r="C43" s="12">
        <v>97500</v>
      </c>
      <c r="D43" s="12">
        <v>10500</v>
      </c>
      <c r="E43" s="13">
        <v>0.05</v>
      </c>
      <c r="F43" s="12">
        <v>0.87</v>
      </c>
      <c r="G43" s="15">
        <f>D43*(1+E43)</f>
        <v>11025</v>
      </c>
    </row>
    <row r="44" spans="1:7" x14ac:dyDescent="0.25">
      <c r="A44" s="6" t="s">
        <v>20</v>
      </c>
      <c r="B44" s="6" t="s">
        <v>15</v>
      </c>
      <c r="C44" s="12">
        <v>516200</v>
      </c>
      <c r="D44" s="12">
        <v>2500</v>
      </c>
      <c r="E44" s="13">
        <v>3</v>
      </c>
      <c r="F44" s="12">
        <v>1.03</v>
      </c>
      <c r="G44" s="15">
        <f>D44*(1+E44)</f>
        <v>10000</v>
      </c>
    </row>
    <row r="45" spans="1:7" x14ac:dyDescent="0.25">
      <c r="A45" s="6" t="s">
        <v>14</v>
      </c>
      <c r="B45" s="6" t="s">
        <v>15</v>
      </c>
      <c r="C45" s="12">
        <v>348100</v>
      </c>
      <c r="D45" s="12">
        <v>8000</v>
      </c>
      <c r="E45" s="13">
        <v>0.2</v>
      </c>
      <c r="F45" s="12">
        <v>1.5</v>
      </c>
      <c r="G45" s="15">
        <f>D45*(1+E45)</f>
        <v>9600</v>
      </c>
    </row>
    <row r="46" spans="1:7" x14ac:dyDescent="0.25">
      <c r="A46" s="6" t="s">
        <v>21</v>
      </c>
      <c r="B46" s="6" t="s">
        <v>22</v>
      </c>
      <c r="C46" s="12">
        <v>471000</v>
      </c>
      <c r="D46" s="12">
        <v>8300</v>
      </c>
      <c r="E46" s="13">
        <v>0.1</v>
      </c>
      <c r="F46" s="12">
        <v>1.1000000000000001</v>
      </c>
      <c r="G46" s="15">
        <f>D46*(1+E46)</f>
        <v>9130</v>
      </c>
    </row>
    <row r="48" spans="1:7" x14ac:dyDescent="0.25">
      <c r="A48" s="2" t="s">
        <v>53</v>
      </c>
    </row>
    <row r="50" spans="1:4" x14ac:dyDescent="0.25">
      <c r="A50" s="6" t="s">
        <v>33</v>
      </c>
      <c r="B50" s="6" t="s">
        <v>34</v>
      </c>
      <c r="C50" s="21" t="s">
        <v>35</v>
      </c>
      <c r="D50" s="23" t="s">
        <v>42</v>
      </c>
    </row>
    <row r="51" spans="1:4" x14ac:dyDescent="0.25">
      <c r="A51" s="6" t="s">
        <v>36</v>
      </c>
      <c r="B51" s="14">
        <v>0.25</v>
      </c>
      <c r="C51" s="22">
        <v>2800</v>
      </c>
      <c r="D51" s="25">
        <f>B51*C51</f>
        <v>700</v>
      </c>
    </row>
    <row r="52" spans="1:4" x14ac:dyDescent="0.25">
      <c r="A52" s="6" t="s">
        <v>37</v>
      </c>
      <c r="B52" s="14">
        <v>5</v>
      </c>
      <c r="C52" s="22">
        <v>420</v>
      </c>
      <c r="D52" s="25">
        <v>1680</v>
      </c>
    </row>
    <row r="53" spans="1:4" x14ac:dyDescent="0.25">
      <c r="A53" s="6" t="s">
        <v>38</v>
      </c>
      <c r="B53" s="14">
        <v>10</v>
      </c>
      <c r="C53" s="22">
        <v>15</v>
      </c>
      <c r="D53" s="25">
        <f t="shared" ref="D53:D55" si="0">B53*C53</f>
        <v>150</v>
      </c>
    </row>
    <row r="54" spans="1:4" ht="30" x14ac:dyDescent="0.25">
      <c r="A54" s="8" t="s">
        <v>39</v>
      </c>
      <c r="B54" s="14">
        <v>1</v>
      </c>
      <c r="C54" s="22">
        <v>104</v>
      </c>
      <c r="D54" s="25">
        <f t="shared" si="0"/>
        <v>104</v>
      </c>
    </row>
    <row r="55" spans="1:4" x14ac:dyDescent="0.25">
      <c r="A55" s="6" t="s">
        <v>40</v>
      </c>
      <c r="B55" s="14">
        <v>56</v>
      </c>
      <c r="C55" s="22">
        <v>5</v>
      </c>
      <c r="D55" s="25">
        <f t="shared" si="0"/>
        <v>280</v>
      </c>
    </row>
    <row r="56" spans="1:4" x14ac:dyDescent="0.25">
      <c r="A56" s="26" t="s">
        <v>43</v>
      </c>
      <c r="B56" s="6"/>
      <c r="C56" s="6"/>
      <c r="D56" s="24">
        <f>SUM(D51:D55)</f>
        <v>2914</v>
      </c>
    </row>
    <row r="58" spans="1:4" x14ac:dyDescent="0.25">
      <c r="A58" s="2" t="s">
        <v>52</v>
      </c>
    </row>
    <row r="60" spans="1:4" x14ac:dyDescent="0.25">
      <c r="A60" t="s">
        <v>44</v>
      </c>
      <c r="B60">
        <f>B3</f>
        <v>56</v>
      </c>
    </row>
    <row r="61" spans="1:4" x14ac:dyDescent="0.25">
      <c r="A61" t="s">
        <v>46</v>
      </c>
      <c r="B61" s="5">
        <v>0.71428571428571419</v>
      </c>
    </row>
    <row r="63" spans="1:4" x14ac:dyDescent="0.25">
      <c r="A63" s="3" t="s">
        <v>45</v>
      </c>
      <c r="B63" s="3">
        <f>B60*B61</f>
        <v>39.999999999999993</v>
      </c>
    </row>
    <row r="64" spans="1:4" x14ac:dyDescent="0.25">
      <c r="A64" s="3" t="s">
        <v>47</v>
      </c>
      <c r="B64" s="3">
        <f>B63*B11</f>
        <v>19.999999999999996</v>
      </c>
    </row>
    <row r="65" spans="1:2" x14ac:dyDescent="0.25">
      <c r="A65" s="3" t="s">
        <v>48</v>
      </c>
      <c r="B65" s="3">
        <f>B60-B63</f>
        <v>16.000000000000007</v>
      </c>
    </row>
    <row r="66" spans="1:2" x14ac:dyDescent="0.25">
      <c r="A66" s="3" t="s">
        <v>47</v>
      </c>
      <c r="B66" s="3">
        <f>B65*B12</f>
        <v>19.200000000000006</v>
      </c>
    </row>
    <row r="67" spans="1:2" x14ac:dyDescent="0.25">
      <c r="A67" s="3" t="s">
        <v>49</v>
      </c>
      <c r="B67" s="3">
        <f>B64+B66</f>
        <v>39.200000000000003</v>
      </c>
    </row>
  </sheetData>
  <autoFilter ref="A15:F20" xr:uid="{DA6E7611-00D3-4589-8A05-B0DF9EF270EC}">
    <sortState xmlns:xlrd2="http://schemas.microsoft.com/office/spreadsheetml/2017/richdata2" ref="A16:F20">
      <sortCondition ref="A16:A20"/>
    </sortState>
  </autoFilter>
  <sortState xmlns:xlrd2="http://schemas.microsoft.com/office/spreadsheetml/2017/richdata2" ref="A42:G46">
    <sortCondition descending="1" ref="G42:G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jean-pierre campcros</dc:creator>
  <cp:lastModifiedBy>SARAIVA-LAFON AURELIE</cp:lastModifiedBy>
  <dcterms:created xsi:type="dcterms:W3CDTF">2021-09-12T06:50:01Z</dcterms:created>
  <dcterms:modified xsi:type="dcterms:W3CDTF">2022-06-14T09:35:31Z</dcterms:modified>
</cp:coreProperties>
</file>