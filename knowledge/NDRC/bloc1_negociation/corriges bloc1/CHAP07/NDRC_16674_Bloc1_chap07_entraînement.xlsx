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/>
  <bookViews>
    <workbookView xWindow="0" yWindow="0" windowWidth="20376" windowHeight="9732" activeTab="2"/>
  </bookViews>
  <sheets>
    <sheet name="Exercice 1" sheetId="4" r:id="rId1"/>
    <sheet name="Exercice 2" sheetId="5" r:id="rId2"/>
    <sheet name="Exercice 4" sheetId="6" r:id="rId3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1" i="6"/>
  <c r="C40"/>
  <c r="C39"/>
  <c r="C37"/>
  <c r="C36"/>
  <c r="C35"/>
  <c r="C34"/>
  <c r="B10" i="5"/>
  <c r="B11" s="1"/>
  <c r="C14" i="4"/>
  <c r="D14"/>
  <c r="B14"/>
  <c r="C13"/>
  <c r="D13"/>
  <c r="B13"/>
  <c r="C12"/>
  <c r="D12"/>
  <c r="B12"/>
  <c r="C22" i="6"/>
  <c r="B31"/>
  <c r="D27"/>
  <c r="C17"/>
  <c r="C21" s="1"/>
  <c r="C19"/>
  <c r="C20"/>
  <c r="C23" s="1"/>
  <c r="E23" s="1"/>
  <c r="C16"/>
  <c r="C15"/>
  <c r="C14"/>
  <c r="C10" i="4"/>
  <c r="D10"/>
  <c r="B10"/>
  <c r="C11"/>
  <c r="D11"/>
  <c r="B11"/>
  <c r="C9"/>
  <c r="D9"/>
  <c r="B9"/>
  <c r="C8"/>
  <c r="D8"/>
  <c r="B8"/>
</calcChain>
</file>

<file path=xl/sharedStrings.xml><?xml version="1.0" encoding="utf-8"?>
<sst xmlns="http://schemas.openxmlformats.org/spreadsheetml/2006/main" count="81" uniqueCount="75">
  <si>
    <t>Taux de demande de rendez-vous après l'envoi du courriel</t>
  </si>
  <si>
    <t>Fichier 1</t>
  </si>
  <si>
    <t>Fichier 2</t>
  </si>
  <si>
    <t>Fichier 3</t>
  </si>
  <si>
    <t>Nombre de relances téléphoniques après 72 heures sans réponse</t>
  </si>
  <si>
    <t>Nombre de prises de rendez-vous sur la relance téléphonique</t>
  </si>
  <si>
    <t>Nombre de contacts dans le fichier</t>
  </si>
  <si>
    <t>Nombre de contacts valides dans le fichier utilisé</t>
  </si>
  <si>
    <t>Taux de validité</t>
  </si>
  <si>
    <t>Taux d'efficacité relance téléphonique</t>
  </si>
  <si>
    <t>Demande de rendez-vous après l'envoi du courriel</t>
  </si>
  <si>
    <t>Nombre total de rendez-vous obtenus</t>
  </si>
  <si>
    <t>Caractéristiques de la Zone 3 secteur "Carry le Rouet"</t>
  </si>
  <si>
    <t xml:space="preserve">Nombre d'axes principaux : </t>
  </si>
  <si>
    <t>Nombre moyen de maisons individuelles par axe :</t>
  </si>
  <si>
    <t xml:space="preserve">Temps de prospection moyen en minutes par maison : </t>
  </si>
  <si>
    <t>Nombre de commerciaux :</t>
  </si>
  <si>
    <t>Temps dédié à la prospection en heures par commercial</t>
  </si>
  <si>
    <t>Calcul du temps nécessaire pour prospecter la zone</t>
  </si>
  <si>
    <t>minutes</t>
  </si>
  <si>
    <t>heures</t>
  </si>
  <si>
    <t>Données concernant la prospection du département des Vosges</t>
  </si>
  <si>
    <t>Nombre de vétérinaires</t>
  </si>
  <si>
    <t>% de vétérinaires ayant commandé des croquettes de notre gamme</t>
  </si>
  <si>
    <t>% des vétérinaires clients ayant passé une première commande de Croquichaton</t>
  </si>
  <si>
    <t>Duré de préparation d'un appel en minute</t>
  </si>
  <si>
    <t>Durée des appels pour présenter la gamme aux prospects en minute</t>
  </si>
  <si>
    <t>Durée des appels pour présenter la ligne aux clients en minute</t>
  </si>
  <si>
    <t>Durée des appels pour un renouvellement en minute</t>
  </si>
  <si>
    <t>Calcul de la durée nécessaire à la prospection téléphonique</t>
  </si>
  <si>
    <t>Nombre de vétérinaires clients Croquichaton</t>
  </si>
  <si>
    <t>Durée des appels vétérinaires pour renouvellement de commande</t>
  </si>
  <si>
    <t>Durée préparation des appels</t>
  </si>
  <si>
    <t>Durée des appels vétérinaires pour présentation de la ligne Croquichaton</t>
  </si>
  <si>
    <t xml:space="preserve">Nombre de vétérinaires clients à présenter la ligne </t>
  </si>
  <si>
    <t>Durée des appels vétérinaires prospects</t>
  </si>
  <si>
    <t>Nombre de vétérinaires clients ayant commandé des croquettes de notre gamme</t>
  </si>
  <si>
    <t>Nombre de vétérinaires prospects</t>
  </si>
  <si>
    <t>Durée totale de prospection</t>
  </si>
  <si>
    <t>soit</t>
  </si>
  <si>
    <t>h</t>
  </si>
  <si>
    <t>Planification de la première journée</t>
  </si>
  <si>
    <t>Temps alloué en heure</t>
  </si>
  <si>
    <t>Déterminer le nombre de vétérinaires à appeler revient à résoudre l'équation suivante</t>
  </si>
  <si>
    <t>3X + 5X +7x +X = 120 soit 16X = 120 soit X = 120/16</t>
  </si>
  <si>
    <t>vétérinaires de chaque cible</t>
  </si>
  <si>
    <t>72 * 73%</t>
  </si>
  <si>
    <t>72-19</t>
  </si>
  <si>
    <t>53*62%</t>
  </si>
  <si>
    <t>Eléments</t>
  </si>
  <si>
    <t>Calcul</t>
  </si>
  <si>
    <t>Résultat</t>
  </si>
  <si>
    <t>53-33</t>
  </si>
  <si>
    <t>1*72</t>
  </si>
  <si>
    <t>3*33</t>
  </si>
  <si>
    <t>5*20</t>
  </si>
  <si>
    <t>7*19</t>
  </si>
  <si>
    <t>Nombre de réponses spontanées</t>
  </si>
  <si>
    <t>Taux de réponses spontanées</t>
  </si>
  <si>
    <t>Première solution : Un nombre équitable de vétérinaires contactés</t>
  </si>
  <si>
    <t>Deuxième solution : un effort de prospection équitable sur les trois cibles</t>
  </si>
  <si>
    <t>Temps consacré à la prospection de chaque cible</t>
  </si>
  <si>
    <t>120/3 =</t>
  </si>
  <si>
    <t>Appel vétérinaire pour renouvellement de commande</t>
  </si>
  <si>
    <t>Appel vétérinaire pour présentation de la ligne Croquichaton</t>
  </si>
  <si>
    <t>Appel vétérinaire prospect</t>
  </si>
  <si>
    <t>40/4 =</t>
  </si>
  <si>
    <t>3+1 =</t>
  </si>
  <si>
    <t>5+1 =</t>
  </si>
  <si>
    <t>7+1 =</t>
  </si>
  <si>
    <t>Nombre d'appels de clients croquichatons</t>
  </si>
  <si>
    <t xml:space="preserve">Nombre d'appels de clients </t>
  </si>
  <si>
    <t xml:space="preserve">40/6 = </t>
  </si>
  <si>
    <t>Nombre d'appels prospects</t>
  </si>
  <si>
    <t>40/8 =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</si>
</sst>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Border="1"/>
    <xf numFmtId="0" fontId="0" fillId="0" borderId="1" xfId="0" applyBorder="1" applyAlignment="1">
      <alignment horizontal="center" vertical="center"/>
    </xf>
    <xf numFmtId="9" fontId="0" fillId="0" borderId="0" xfId="1" applyFont="1"/>
    <xf numFmtId="10" fontId="0" fillId="0" borderId="1" xfId="1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0" xfId="0" applyBorder="1"/>
    <xf numFmtId="0" fontId="3" fillId="0" borderId="0" xfId="0" applyFont="1"/>
    <xf numFmtId="0" fontId="1" fillId="0" borderId="1" xfId="0" applyFont="1" applyBorder="1"/>
    <xf numFmtId="0" fontId="4" fillId="0" borderId="0" xfId="0" applyFont="1"/>
    <xf numFmtId="0" fontId="5" fillId="0" borderId="0" xfId="0" applyFont="1"/>
    <xf numFmtId="0" fontId="1" fillId="0" borderId="0" xfId="0" applyFont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6" fillId="0" borderId="0" xfId="0" applyFont="1" applyFill="1" applyBorder="1"/>
    <xf numFmtId="0" fontId="3" fillId="0" borderId="0" xfId="0" applyFont="1" applyAlignment="1">
      <alignment horizontal="right" vertical="center"/>
    </xf>
    <xf numFmtId="2" fontId="3" fillId="0" borderId="0" xfId="0" applyNumberFormat="1" applyFont="1"/>
    <xf numFmtId="0" fontId="7" fillId="0" borderId="0" xfId="0" applyFont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3" fillId="0" borderId="4" xfId="0" applyFont="1" applyBorder="1"/>
    <xf numFmtId="0" fontId="3" fillId="0" borderId="6" xfId="0" applyFont="1" applyBorder="1"/>
    <xf numFmtId="0" fontId="3" fillId="0" borderId="9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17" xfId="0" applyFont="1" applyBorder="1"/>
    <xf numFmtId="0" fontId="3" fillId="0" borderId="3" xfId="0" applyFont="1" applyBorder="1"/>
    <xf numFmtId="0" fontId="3" fillId="0" borderId="18" xfId="0" applyFont="1" applyBorder="1"/>
    <xf numFmtId="0" fontId="3" fillId="0" borderId="5" xfId="0" applyFont="1" applyBorder="1"/>
    <xf numFmtId="0" fontId="3" fillId="0" borderId="19" xfId="0" applyFont="1" applyBorder="1"/>
    <xf numFmtId="0" fontId="3" fillId="0" borderId="2" xfId="0" applyFont="1" applyBorder="1"/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2" xfId="0" applyFont="1" applyBorder="1"/>
    <xf numFmtId="0" fontId="0" fillId="0" borderId="23" xfId="0" applyBorder="1"/>
    <xf numFmtId="10" fontId="6" fillId="0" borderId="1" xfId="1" applyNumberFormat="1" applyFont="1" applyBorder="1" applyAlignment="1">
      <alignment horizontal="center" vertical="center"/>
    </xf>
    <xf numFmtId="10" fontId="6" fillId="0" borderId="1" xfId="1" applyNumberFormat="1" applyFont="1" applyBorder="1" applyAlignment="1">
      <alignment horizontal="right"/>
    </xf>
    <xf numFmtId="10" fontId="0" fillId="0" borderId="0" xfId="1" applyNumberFormat="1" applyFont="1"/>
    <xf numFmtId="0" fontId="6" fillId="0" borderId="1" xfId="1" applyNumberFormat="1" applyFont="1" applyBorder="1" applyAlignment="1">
      <alignment horizontal="center" vertical="center"/>
    </xf>
    <xf numFmtId="0" fontId="3" fillId="0" borderId="0" xfId="0" applyFont="1" applyBorder="1"/>
    <xf numFmtId="0" fontId="3" fillId="0" borderId="0" xfId="0" applyFont="1" applyBorder="1" applyAlignment="1">
      <alignment horizontal="center" vertical="center"/>
    </xf>
    <xf numFmtId="0" fontId="3" fillId="0" borderId="0" xfId="0" applyFont="1" applyFill="1" applyBorder="1"/>
    <xf numFmtId="0" fontId="3" fillId="0" borderId="0" xfId="0" applyFont="1" applyFill="1" applyBorder="1" applyAlignment="1">
      <alignment horizontal="center" vertical="center"/>
    </xf>
    <xf numFmtId="1" fontId="3" fillId="0" borderId="0" xfId="0" applyNumberFormat="1" applyFont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colors>
    <mruColors>
      <color rgb="FFCCCCFF"/>
      <color rgb="FFFFCCFF"/>
      <color rgb="FFA1BB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selection activeCell="D17" sqref="D17"/>
    </sheetView>
  </sheetViews>
  <sheetFormatPr baseColWidth="10" defaultRowHeight="14.4"/>
  <cols>
    <col min="1" max="1" width="59.33203125" customWidth="1"/>
  </cols>
  <sheetData>
    <row r="1" spans="1:4" ht="24.75" customHeight="1">
      <c r="B1" s="2" t="s">
        <v>1</v>
      </c>
      <c r="C1" s="2" t="s">
        <v>2</v>
      </c>
      <c r="D1" s="2" t="s">
        <v>3</v>
      </c>
    </row>
    <row r="2" spans="1:4">
      <c r="A2" s="6" t="s">
        <v>0</v>
      </c>
      <c r="B2" s="4">
        <v>7.0000000000000007E-2</v>
      </c>
      <c r="C2" s="4">
        <v>0.09</v>
      </c>
      <c r="D2" s="4">
        <v>0.08</v>
      </c>
    </row>
    <row r="3" spans="1:4">
      <c r="A3" s="6" t="s">
        <v>4</v>
      </c>
      <c r="B3" s="5">
        <v>131</v>
      </c>
      <c r="C3" s="5">
        <v>256</v>
      </c>
      <c r="D3" s="5">
        <v>407</v>
      </c>
    </row>
    <row r="4" spans="1:4">
      <c r="A4" s="6" t="s">
        <v>5</v>
      </c>
      <c r="B4" s="5">
        <v>21</v>
      </c>
      <c r="C4" s="5">
        <v>32</v>
      </c>
      <c r="D4" s="5">
        <v>63</v>
      </c>
    </row>
    <row r="5" spans="1:4">
      <c r="A5" s="6" t="s">
        <v>6</v>
      </c>
      <c r="B5" s="5">
        <v>160</v>
      </c>
      <c r="C5" s="5">
        <v>325</v>
      </c>
      <c r="D5" s="5">
        <v>458</v>
      </c>
    </row>
    <row r="6" spans="1:4">
      <c r="A6" s="6" t="s">
        <v>7</v>
      </c>
      <c r="B6" s="5">
        <v>148</v>
      </c>
      <c r="C6" s="5">
        <v>266</v>
      </c>
      <c r="D6" s="5">
        <v>421</v>
      </c>
    </row>
    <row r="8" spans="1:4" ht="15.6">
      <c r="A8" s="8"/>
      <c r="B8" s="22" t="str">
        <f>B1</f>
        <v>Fichier 1</v>
      </c>
      <c r="C8" s="22" t="str">
        <f>C1</f>
        <v>Fichier 2</v>
      </c>
      <c r="D8" s="22" t="str">
        <f>D1</f>
        <v>Fichier 3</v>
      </c>
    </row>
    <row r="9" spans="1:4" ht="15.6">
      <c r="A9" s="23" t="s">
        <v>8</v>
      </c>
      <c r="B9" s="39">
        <f>B6/B5</f>
        <v>0.92500000000000004</v>
      </c>
      <c r="C9" s="39">
        <f>C6/C5</f>
        <v>0.81846153846153846</v>
      </c>
      <c r="D9" s="39">
        <f>D6/D5</f>
        <v>0.91921397379912662</v>
      </c>
    </row>
    <row r="10" spans="1:4" ht="15.6">
      <c r="A10" s="23" t="s">
        <v>10</v>
      </c>
      <c r="B10" s="22">
        <f>ROUNDUP(B6*B2,0)</f>
        <v>11</v>
      </c>
      <c r="C10" s="22">
        <f>ROUNDUP(C6*C2,0)</f>
        <v>24</v>
      </c>
      <c r="D10" s="22">
        <f>ROUNDUP(D6*D2,0)</f>
        <v>34</v>
      </c>
    </row>
    <row r="11" spans="1:4" s="41" customFormat="1" ht="15.6">
      <c r="A11" s="40" t="s">
        <v>9</v>
      </c>
      <c r="B11" s="39">
        <f>B4/B3</f>
        <v>0.16030534351145037</v>
      </c>
      <c r="C11" s="39">
        <f>C4/C3</f>
        <v>0.125</v>
      </c>
      <c r="D11" s="39">
        <f>D4/D3</f>
        <v>0.15479115479115479</v>
      </c>
    </row>
    <row r="12" spans="1:4" s="41" customFormat="1" ht="15.6">
      <c r="A12" s="40" t="s">
        <v>57</v>
      </c>
      <c r="B12" s="42">
        <f>B6-B3</f>
        <v>17</v>
      </c>
      <c r="C12" s="42">
        <f t="shared" ref="C12:D12" si="0">C6-C3</f>
        <v>10</v>
      </c>
      <c r="D12" s="42">
        <f t="shared" si="0"/>
        <v>14</v>
      </c>
    </row>
    <row r="13" spans="1:4" s="41" customFormat="1" ht="15.6">
      <c r="A13" s="40" t="s">
        <v>58</v>
      </c>
      <c r="B13" s="39">
        <f>B12/B6</f>
        <v>0.11486486486486487</v>
      </c>
      <c r="C13" s="39">
        <f t="shared" ref="C13:D13" si="1">C12/C6</f>
        <v>3.7593984962406013E-2</v>
      </c>
      <c r="D13" s="39">
        <f t="shared" si="1"/>
        <v>3.3254156769596199E-2</v>
      </c>
    </row>
    <row r="14" spans="1:4" ht="15.6">
      <c r="A14" s="23" t="s">
        <v>11</v>
      </c>
      <c r="B14" s="42">
        <f>B4+B10+B12</f>
        <v>49</v>
      </c>
      <c r="C14" s="42">
        <f t="shared" ref="C14:D14" si="2">C4+C10+C12</f>
        <v>66</v>
      </c>
      <c r="D14" s="42">
        <f t="shared" si="2"/>
        <v>111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C11"/>
  <sheetViews>
    <sheetView workbookViewId="0">
      <selection activeCell="B11" sqref="B11"/>
    </sheetView>
  </sheetViews>
  <sheetFormatPr baseColWidth="10" defaultRowHeight="14.4"/>
  <cols>
    <col min="1" max="1" width="54.33203125" customWidth="1"/>
    <col min="2" max="2" width="16.88671875" customWidth="1"/>
  </cols>
  <sheetData>
    <row r="2" spans="1:3" ht="15.6">
      <c r="A2" s="10" t="s">
        <v>12</v>
      </c>
      <c r="B2" s="11"/>
    </row>
    <row r="3" spans="1:3" ht="15.6">
      <c r="A3" s="12" t="s">
        <v>13</v>
      </c>
      <c r="B3" s="13">
        <v>11</v>
      </c>
    </row>
    <row r="4" spans="1:3" ht="15.6">
      <c r="A4" s="14" t="s">
        <v>14</v>
      </c>
      <c r="B4" s="15">
        <v>22</v>
      </c>
    </row>
    <row r="5" spans="1:3" ht="15.6">
      <c r="A5" s="16" t="s">
        <v>15</v>
      </c>
      <c r="B5" s="17">
        <v>2</v>
      </c>
    </row>
    <row r="6" spans="1:3" ht="15.6">
      <c r="A6" s="11"/>
      <c r="B6" s="11"/>
    </row>
    <row r="7" spans="1:3" ht="15.6">
      <c r="A7" s="11" t="s">
        <v>16</v>
      </c>
      <c r="B7" s="11">
        <v>2</v>
      </c>
    </row>
    <row r="8" spans="1:3" ht="15.6">
      <c r="A8" s="11" t="s">
        <v>17</v>
      </c>
      <c r="B8" s="11">
        <v>4</v>
      </c>
    </row>
    <row r="10" spans="1:3" ht="15.6">
      <c r="A10" s="18" t="s">
        <v>18</v>
      </c>
      <c r="B10" s="7">
        <f>B3*B4*B5</f>
        <v>484</v>
      </c>
      <c r="C10" s="7" t="s">
        <v>19</v>
      </c>
    </row>
    <row r="11" spans="1:3">
      <c r="A11" s="7"/>
      <c r="B11" s="19">
        <f>ROUND(B10/60,2)</f>
        <v>8.07</v>
      </c>
      <c r="C11" s="7" t="s">
        <v>20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F41"/>
  <sheetViews>
    <sheetView tabSelected="1" topLeftCell="A7" workbookViewId="0">
      <selection activeCell="G33" sqref="G33"/>
    </sheetView>
  </sheetViews>
  <sheetFormatPr baseColWidth="10" defaultRowHeight="14.4"/>
  <cols>
    <col min="1" max="1" width="74.44140625" customWidth="1"/>
    <col min="2" max="2" width="9.33203125" customWidth="1"/>
    <col min="3" max="3" width="8" customWidth="1"/>
    <col min="4" max="5" width="5.5546875" customWidth="1"/>
  </cols>
  <sheetData>
    <row r="2" spans="1:3">
      <c r="A2" s="9" t="s">
        <v>21</v>
      </c>
    </row>
    <row r="4" spans="1:3">
      <c r="A4" t="s">
        <v>22</v>
      </c>
      <c r="B4">
        <v>72</v>
      </c>
    </row>
    <row r="5" spans="1:3">
      <c r="A5" t="s">
        <v>23</v>
      </c>
      <c r="B5" s="3">
        <v>0.73</v>
      </c>
    </row>
    <row r="6" spans="1:3">
      <c r="A6" t="s">
        <v>24</v>
      </c>
      <c r="B6" s="3">
        <v>0.62</v>
      </c>
    </row>
    <row r="7" spans="1:3">
      <c r="A7" t="s">
        <v>28</v>
      </c>
      <c r="B7">
        <v>3</v>
      </c>
    </row>
    <row r="8" spans="1:3">
      <c r="A8" t="s">
        <v>27</v>
      </c>
      <c r="B8">
        <v>5</v>
      </c>
    </row>
    <row r="9" spans="1:3">
      <c r="A9" t="s">
        <v>26</v>
      </c>
      <c r="B9">
        <v>7</v>
      </c>
    </row>
    <row r="10" spans="1:3">
      <c r="A10" t="s">
        <v>25</v>
      </c>
      <c r="B10">
        <v>1</v>
      </c>
    </row>
    <row r="12" spans="1:3" ht="15" thickBot="1">
      <c r="A12" s="21" t="s">
        <v>29</v>
      </c>
    </row>
    <row r="13" spans="1:3" ht="15" thickBot="1">
      <c r="A13" s="26" t="s">
        <v>49</v>
      </c>
      <c r="B13" s="34" t="s">
        <v>50</v>
      </c>
      <c r="C13" s="30" t="s">
        <v>51</v>
      </c>
    </row>
    <row r="14" spans="1:3">
      <c r="A14" s="27" t="s">
        <v>36</v>
      </c>
      <c r="B14" s="35" t="s">
        <v>46</v>
      </c>
      <c r="C14" s="31">
        <f>ROUNDUP(B4*B5,0)</f>
        <v>53</v>
      </c>
    </row>
    <row r="15" spans="1:3">
      <c r="A15" s="28" t="s">
        <v>37</v>
      </c>
      <c r="B15" s="36" t="s">
        <v>47</v>
      </c>
      <c r="C15" s="32">
        <f>B4-C14</f>
        <v>19</v>
      </c>
    </row>
    <row r="16" spans="1:3">
      <c r="A16" s="28" t="s">
        <v>30</v>
      </c>
      <c r="B16" s="36" t="s">
        <v>48</v>
      </c>
      <c r="C16" s="32">
        <f>ROUND(C14*B6,0)</f>
        <v>33</v>
      </c>
    </row>
    <row r="17" spans="1:6">
      <c r="A17" s="28" t="s">
        <v>34</v>
      </c>
      <c r="B17" s="36" t="s">
        <v>52</v>
      </c>
      <c r="C17" s="32">
        <f>C14-C16</f>
        <v>20</v>
      </c>
    </row>
    <row r="18" spans="1:6">
      <c r="A18" s="24"/>
      <c r="B18" s="37"/>
      <c r="C18" s="25"/>
    </row>
    <row r="19" spans="1:6">
      <c r="A19" s="28" t="s">
        <v>32</v>
      </c>
      <c r="B19" s="36" t="s">
        <v>53</v>
      </c>
      <c r="C19" s="32">
        <f>B10*B4</f>
        <v>72</v>
      </c>
    </row>
    <row r="20" spans="1:6">
      <c r="A20" s="28" t="s">
        <v>31</v>
      </c>
      <c r="B20" s="36" t="s">
        <v>54</v>
      </c>
      <c r="C20" s="32">
        <f>C16*B7</f>
        <v>99</v>
      </c>
    </row>
    <row r="21" spans="1:6">
      <c r="A21" s="28" t="s">
        <v>33</v>
      </c>
      <c r="B21" s="36" t="s">
        <v>55</v>
      </c>
      <c r="C21" s="32">
        <f>C17*B8</f>
        <v>100</v>
      </c>
    </row>
    <row r="22" spans="1:6">
      <c r="A22" s="28" t="s">
        <v>35</v>
      </c>
      <c r="B22" s="36" t="s">
        <v>56</v>
      </c>
      <c r="C22" s="32">
        <f>B9*C15</f>
        <v>133</v>
      </c>
    </row>
    <row r="23" spans="1:6" ht="15" thickBot="1">
      <c r="A23" s="29" t="s">
        <v>38</v>
      </c>
      <c r="B23" s="38"/>
      <c r="C23" s="33">
        <f>SUM(C19:C22)</f>
        <v>404</v>
      </c>
      <c r="D23" s="7" t="s">
        <v>39</v>
      </c>
      <c r="E23" s="20">
        <f>C23/60</f>
        <v>6.7333333333333334</v>
      </c>
      <c r="F23" s="7" t="s">
        <v>40</v>
      </c>
    </row>
    <row r="25" spans="1:6">
      <c r="A25" s="21" t="s">
        <v>41</v>
      </c>
    </row>
    <row r="27" spans="1:6">
      <c r="A27" s="7" t="s">
        <v>42</v>
      </c>
      <c r="B27" s="7">
        <v>2</v>
      </c>
      <c r="C27" s="7" t="s">
        <v>39</v>
      </c>
      <c r="D27" s="7">
        <f>B27*60</f>
        <v>120</v>
      </c>
      <c r="E27" s="7" t="s">
        <v>19</v>
      </c>
      <c r="F27" s="7"/>
    </row>
    <row r="29" spans="1:6">
      <c r="A29" t="s">
        <v>59</v>
      </c>
      <c r="C29" s="7"/>
      <c r="D29" s="7"/>
      <c r="E29" s="7"/>
      <c r="F29" s="7"/>
    </row>
    <row r="30" spans="1:6">
      <c r="A30" s="7" t="s">
        <v>43</v>
      </c>
      <c r="B30" s="7"/>
      <c r="D30" s="7"/>
      <c r="E30" s="7"/>
      <c r="F30" s="7"/>
    </row>
    <row r="31" spans="1:6">
      <c r="A31" s="7" t="s">
        <v>44</v>
      </c>
      <c r="B31" s="7">
        <f>ROUNDDOWN(D27/SUM(B7:B10),0)</f>
        <v>7</v>
      </c>
      <c r="C31" s="7" t="s">
        <v>45</v>
      </c>
    </row>
    <row r="33" spans="1:4">
      <c r="A33" t="s">
        <v>60</v>
      </c>
    </row>
    <row r="34" spans="1:4">
      <c r="A34" s="7" t="s">
        <v>61</v>
      </c>
      <c r="B34" s="7" t="s">
        <v>62</v>
      </c>
      <c r="C34" s="7">
        <f>D27/3</f>
        <v>40</v>
      </c>
      <c r="D34" s="7" t="s">
        <v>19</v>
      </c>
    </row>
    <row r="35" spans="1:4" s="1" customFormat="1">
      <c r="A35" s="43" t="s">
        <v>63</v>
      </c>
      <c r="B35" s="44" t="s">
        <v>67</v>
      </c>
      <c r="C35" s="43">
        <f>B7+B10</f>
        <v>4</v>
      </c>
      <c r="D35" s="43" t="s">
        <v>19</v>
      </c>
    </row>
    <row r="36" spans="1:4" s="1" customFormat="1">
      <c r="A36" s="43" t="s">
        <v>64</v>
      </c>
      <c r="B36" s="44" t="s">
        <v>68</v>
      </c>
      <c r="C36" s="43">
        <f>B8+B10</f>
        <v>6</v>
      </c>
      <c r="D36" s="43" t="s">
        <v>19</v>
      </c>
    </row>
    <row r="37" spans="1:4" s="1" customFormat="1">
      <c r="A37" s="43" t="s">
        <v>65</v>
      </c>
      <c r="B37" s="44" t="s">
        <v>69</v>
      </c>
      <c r="C37" s="43">
        <f>B9+B10</f>
        <v>8</v>
      </c>
      <c r="D37" s="43" t="s">
        <v>19</v>
      </c>
    </row>
    <row r="39" spans="1:4">
      <c r="A39" s="45" t="s">
        <v>70</v>
      </c>
      <c r="B39" s="46" t="s">
        <v>66</v>
      </c>
      <c r="C39" s="7">
        <f>C34/C35</f>
        <v>10</v>
      </c>
    </row>
    <row r="40" spans="1:4">
      <c r="A40" s="45" t="s">
        <v>71</v>
      </c>
      <c r="B40" s="46" t="s">
        <v>72</v>
      </c>
      <c r="C40" s="47">
        <f>C34/C36</f>
        <v>6.666666666666667</v>
      </c>
    </row>
    <row r="41" spans="1:4">
      <c r="A41" s="45" t="s">
        <v>73</v>
      </c>
      <c r="B41" s="46" t="s">
        <v>74</v>
      </c>
      <c r="C41" s="7">
        <f>C34/C37</f>
        <v>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Exercice 1</vt:lpstr>
      <vt:lpstr>Exercice 2</vt:lpstr>
      <vt:lpstr>Exercice 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Véronique</dc:creator>
  <cp:lastModifiedBy>Veronique Dupas</cp:lastModifiedBy>
  <cp:lastPrinted>2018-02-03T11:45:07Z</cp:lastPrinted>
  <dcterms:created xsi:type="dcterms:W3CDTF">2018-01-27T13:36:57Z</dcterms:created>
  <dcterms:modified xsi:type="dcterms:W3CDTF">2022-06-06T15:09:06Z</dcterms:modified>
</cp:coreProperties>
</file>