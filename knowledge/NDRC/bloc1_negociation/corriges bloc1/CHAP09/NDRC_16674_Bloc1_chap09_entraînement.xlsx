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chette-my.sharepoint.com/personal/asaraivalafon_editions-foucher_fr/Documents/Desktop/Guides pédago revus par Chloé/CHAP09/"/>
    </mc:Choice>
  </mc:AlternateContent>
  <xr:revisionPtr revIDLastSave="6" documentId="11_7EF2EEDF156E4B6F40B5C581053AF016E11B84BB" xr6:coauthVersionLast="47" xr6:coauthVersionMax="47" xr10:uidLastSave="{E21D3F69-A8FB-4517-9442-BEB7E05DC1A6}"/>
  <bookViews>
    <workbookView xWindow="28680" yWindow="750" windowWidth="25440" windowHeight="15390" activeTab="2" xr2:uid="{00000000-000D-0000-FFFF-FFFF00000000}"/>
  </bookViews>
  <sheets>
    <sheet name="Exercice 1" sheetId="6" r:id="rId1"/>
    <sheet name="Exercice 3" sheetId="7" r:id="rId2"/>
    <sheet name="Exercice 4" sheetId="5" r:id="rId3"/>
    <sheet name="Exercice supplémentaire" sheetId="2" r:id="rId4"/>
  </sheets>
  <externalReferences>
    <externalReference r:id="rId5"/>
  </externalReferences>
  <definedNames>
    <definedName name="abandon">'[1]ressources site ecommerce'!$B$11</definedName>
    <definedName name="appels_argumentés">'[1]Exo 4corrigé'!$D$12</definedName>
    <definedName name="Appels_heure">'[1]Exo 4corrigé'!$D$11</definedName>
    <definedName name="contacts_heure">'[1]Exo 4corrigé'!$D$10</definedName>
    <definedName name="devis">'Exercice 3'!#REF!</definedName>
    <definedName name="nb_arrêt_1_page">'[1]ressources site ecommerce'!$B$3</definedName>
    <definedName name="nb_commandes">'[1]ressources site ecommerce'!$B$5</definedName>
    <definedName name="nb_de_commandes_dans_le_mois">'[1]ressources site ecommerce'!$B$6</definedName>
    <definedName name="nb_Entreprises">'[1]Exo 4corrigé'!$D$7</definedName>
    <definedName name="nb_heures_jour">'[1]Exo 4corrigé'!$D$6</definedName>
    <definedName name="nb_jours_prospection">'[1]Exo 4corrigé'!$D$5</definedName>
    <definedName name="nb_mise_en_panier">'[1]ressources site ecommerce'!$B$4</definedName>
    <definedName name="nb_visites">'[1]ressources site ecommerce'!$B$2</definedName>
    <definedName name="nb_visites_mois">'[1]ressources site ecommerce'!$B$7</definedName>
    <definedName name="qualification_fichier">'Exercice 3'!$D$14</definedName>
    <definedName name="taux_transformation_100_argumentés">'[1]Exo 4corrigé'!$D$13</definedName>
    <definedName name="visite_des_pages">'[1]ressources site ecommerce'!$B$9</definedName>
    <definedName name="viste_sans_achat">'[1]ressources site ecommerce'!$B$10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7" i="7" l="1"/>
  <c r="F37" i="7"/>
  <c r="C37" i="7"/>
  <c r="D38" i="7" s="1"/>
  <c r="B37" i="7"/>
  <c r="L36" i="7"/>
  <c r="I36" i="7"/>
  <c r="F36" i="7"/>
  <c r="E36" i="7"/>
  <c r="H36" i="7" s="1"/>
  <c r="C36" i="7"/>
  <c r="B36" i="7"/>
  <c r="L35" i="7"/>
  <c r="I35" i="7"/>
  <c r="F35" i="7"/>
  <c r="E35" i="7"/>
  <c r="C35" i="7"/>
  <c r="B35" i="7"/>
  <c r="D35" i="7" s="1"/>
  <c r="A27" i="7"/>
  <c r="D26" i="7"/>
  <c r="E26" i="7" s="1"/>
  <c r="E27" i="7" s="1"/>
  <c r="C26" i="7"/>
  <c r="C27" i="7" s="1"/>
  <c r="B26" i="7"/>
  <c r="B27" i="7" s="1"/>
  <c r="A26" i="7"/>
  <c r="D25" i="7"/>
  <c r="E25" i="7" s="1"/>
  <c r="E28" i="7" s="1"/>
  <c r="C25" i="7"/>
  <c r="B25" i="7"/>
  <c r="A25" i="7"/>
  <c r="F19" i="7"/>
  <c r="L37" i="7" s="1"/>
  <c r="D7" i="7"/>
  <c r="C38" i="7" l="1"/>
  <c r="F38" i="7"/>
  <c r="N36" i="7"/>
  <c r="B28" i="7"/>
  <c r="D27" i="7"/>
  <c r="D37" i="7"/>
  <c r="K36" i="7"/>
  <c r="M36" i="7" s="1"/>
  <c r="J36" i="7"/>
  <c r="N37" i="7"/>
  <c r="C28" i="7"/>
  <c r="N35" i="7"/>
  <c r="G35" i="7"/>
  <c r="E37" i="7"/>
  <c r="E38" i="7" s="1"/>
  <c r="G38" i="7" s="1"/>
  <c r="D28" i="7"/>
  <c r="H35" i="7"/>
  <c r="J35" i="7" s="1"/>
  <c r="I38" i="7"/>
  <c r="D36" i="7"/>
  <c r="B38" i="7"/>
  <c r="L38" i="7"/>
  <c r="G36" i="7"/>
  <c r="K35" i="7" l="1"/>
  <c r="H37" i="7"/>
  <c r="G37" i="7"/>
  <c r="N38" i="7"/>
  <c r="D35" i="6"/>
  <c r="B30" i="6"/>
  <c r="C30" i="6" s="1"/>
  <c r="B29" i="6"/>
  <c r="C24" i="6"/>
  <c r="B24" i="6"/>
  <c r="D24" i="6" s="1"/>
  <c r="E24" i="6" s="1"/>
  <c r="C23" i="6"/>
  <c r="B23" i="6"/>
  <c r="D23" i="6" s="1"/>
  <c r="E23" i="6" s="1"/>
  <c r="E19" i="6"/>
  <c r="E18" i="6"/>
  <c r="A18" i="6"/>
  <c r="E17" i="6"/>
  <c r="D29" i="6" s="1"/>
  <c r="E29" i="6" s="1"/>
  <c r="A17" i="6"/>
  <c r="D13" i="6"/>
  <c r="E13" i="6" s="1"/>
  <c r="D12" i="6"/>
  <c r="E12" i="6" s="1"/>
  <c r="D11" i="6"/>
  <c r="E11" i="6" s="1"/>
  <c r="B9" i="6"/>
  <c r="B8" i="6"/>
  <c r="F14" i="5"/>
  <c r="C29" i="6" l="1"/>
  <c r="D30" i="6"/>
  <c r="E30" i="6" s="1"/>
  <c r="K37" i="7"/>
  <c r="M37" i="7" s="1"/>
  <c r="J37" i="7"/>
  <c r="H38" i="7"/>
  <c r="J38" i="7" s="1"/>
  <c r="K38" i="7"/>
  <c r="M38" i="7" s="1"/>
  <c r="M35" i="7"/>
  <c r="F18" i="6"/>
  <c r="F19" i="6"/>
  <c r="B31" i="6"/>
  <c r="D31" i="6" s="1"/>
  <c r="F17" i="6"/>
  <c r="F5" i="5" l="1"/>
  <c r="F3" i="5"/>
  <c r="F15" i="5"/>
  <c r="B2" i="5"/>
  <c r="F13" i="5" s="1"/>
  <c r="F12" i="5"/>
  <c r="F7" i="5"/>
  <c r="F6" i="5"/>
  <c r="F8" i="5"/>
  <c r="F9" i="5"/>
  <c r="F10" i="5" l="1"/>
  <c r="F4" i="5"/>
  <c r="C16" i="2"/>
  <c r="D17" i="2"/>
  <c r="C17" i="2"/>
  <c r="C13" i="2"/>
  <c r="D13" i="2"/>
  <c r="C14" i="2"/>
  <c r="D14" i="2"/>
  <c r="C15" i="2"/>
  <c r="D15" i="2"/>
  <c r="D16" i="2"/>
  <c r="C18" i="2"/>
  <c r="D18" i="2"/>
</calcChain>
</file>

<file path=xl/sharedStrings.xml><?xml version="1.0" encoding="utf-8"?>
<sst xmlns="http://schemas.openxmlformats.org/spreadsheetml/2006/main" count="145" uniqueCount="105">
  <si>
    <t>CPC</t>
  </si>
  <si>
    <t>CPM</t>
  </si>
  <si>
    <t>Budget</t>
  </si>
  <si>
    <t>Total</t>
  </si>
  <si>
    <t>Ventes</t>
  </si>
  <si>
    <t>CA</t>
  </si>
  <si>
    <t>CPL</t>
  </si>
  <si>
    <t>ROI</t>
  </si>
  <si>
    <t>Contacts présents dans le fichier</t>
  </si>
  <si>
    <t>Appels aboutis</t>
  </si>
  <si>
    <t>Contacts argumentés</t>
  </si>
  <si>
    <t>Nombre de demandes de devis</t>
  </si>
  <si>
    <t>Données de la campagne de prospection sur la cible des organismes publics</t>
  </si>
  <si>
    <t>Donnée de la campagne de prospection sur la cible des séjours linguistiques</t>
  </si>
  <si>
    <t>Cible 1</t>
  </si>
  <si>
    <t>cible 2</t>
  </si>
  <si>
    <t>Taux de contacts</t>
  </si>
  <si>
    <t>Calculs</t>
  </si>
  <si>
    <t>appels aboutis/contacts présents *100</t>
  </si>
  <si>
    <t>Contact argumentés/appels aboutis</t>
  </si>
  <si>
    <t>Taux d'entretiens</t>
  </si>
  <si>
    <t>Capacité à intéresser</t>
  </si>
  <si>
    <t>nbre de plaquettes envoyés/contacts argumentés</t>
  </si>
  <si>
    <t>Taux de conversion</t>
  </si>
  <si>
    <t>nbre de rendez-vous / appels aboutis</t>
  </si>
  <si>
    <t>Capacité à prendre des devis</t>
  </si>
  <si>
    <t>Nbre de devis / contacts argumentés</t>
  </si>
  <si>
    <t>Ventes / nbre de devis</t>
  </si>
  <si>
    <t>Taux de concrétisation</t>
  </si>
  <si>
    <t>Ressouce  Données statistiques de la campagne sur les deux cibles</t>
  </si>
  <si>
    <t>Nombre d'appels par heure</t>
  </si>
  <si>
    <t>Nombre de clics sur la vidéo</t>
  </si>
  <si>
    <t>Nombre de formulaires remplis</t>
  </si>
  <si>
    <t>Nombre de téléchargements du livre blanc</t>
  </si>
  <si>
    <t>Relances téléphoniques</t>
  </si>
  <si>
    <t>Devis</t>
  </si>
  <si>
    <t>Nombre d'impression</t>
  </si>
  <si>
    <t>Nombre d'engagements</t>
  </si>
  <si>
    <t>Le taux d'engagement</t>
  </si>
  <si>
    <t>Nombre de visiteurs (portée)</t>
  </si>
  <si>
    <t>Le taux de clics CTR</t>
  </si>
  <si>
    <t>Le nombre de MQL</t>
  </si>
  <si>
    <t>Le nombre de SQL</t>
  </si>
  <si>
    <t>Nombre de clics sur la page web</t>
  </si>
  <si>
    <t>Visiteurs ou trafic</t>
  </si>
  <si>
    <t>Nombre d'abonnés</t>
  </si>
  <si>
    <t>Nombre de flyers distribués :</t>
  </si>
  <si>
    <t>Nb flyers remis en mains propres (A)</t>
  </si>
  <si>
    <t>Nb de flyers en boites à lettre (B)</t>
  </si>
  <si>
    <t>Nb de prospects (A) venus en agence</t>
  </si>
  <si>
    <t>Nb de prospects (B) venus en agence</t>
  </si>
  <si>
    <t>Nb de devis réalisés (A)</t>
  </si>
  <si>
    <t>Nb de devis réalisés (B)</t>
  </si>
  <si>
    <t>Nb de contrats signés avant fin trimestre</t>
  </si>
  <si>
    <t>Mode de distribution des flyers</t>
  </si>
  <si>
    <t>Mode A</t>
  </si>
  <si>
    <t>Mode B</t>
  </si>
  <si>
    <t>Nb de clients</t>
  </si>
  <si>
    <t>%</t>
  </si>
  <si>
    <t>Nombre de personnes venus en agence</t>
  </si>
  <si>
    <t>Nombre de personnes venus en agence mode A</t>
  </si>
  <si>
    <t>Nombre de personnes venus en agence mode B</t>
  </si>
  <si>
    <t>Répartition des clients venus en agence par mode de distribution des flyers</t>
  </si>
  <si>
    <t>nb</t>
  </si>
  <si>
    <t xml:space="preserve"> </t>
  </si>
  <si>
    <t>Efficacité</t>
  </si>
  <si>
    <t>Venus en agence</t>
  </si>
  <si>
    <t>Refus de se déplacer</t>
  </si>
  <si>
    <t>Réalisation des devis</t>
  </si>
  <si>
    <t>Devis réalisé</t>
  </si>
  <si>
    <t>Pas de devis</t>
  </si>
  <si>
    <t>Signature des devis</t>
  </si>
  <si>
    <t>Hors campagne de prospection</t>
  </si>
  <si>
    <t>Tableau de bord et suivi de prospection</t>
  </si>
  <si>
    <t>Date de la campagne :</t>
  </si>
  <si>
    <t>juin</t>
  </si>
  <si>
    <t>Nombre de jours de Prospection :</t>
  </si>
  <si>
    <t>Nb heures par jour :</t>
  </si>
  <si>
    <t>Nombre d'entreprises à appeler</t>
  </si>
  <si>
    <t>Standards de prospection</t>
  </si>
  <si>
    <t>Nombre de contacts par heure</t>
  </si>
  <si>
    <t>Nombre d'appels argumentés</t>
  </si>
  <si>
    <t>Taux de transformation</t>
  </si>
  <si>
    <t>Sur 100 appels argumentés</t>
  </si>
  <si>
    <t>Taux de qualification du fichier</t>
  </si>
  <si>
    <t>Résultats</t>
  </si>
  <si>
    <t>Prospects appelés</t>
  </si>
  <si>
    <t>Prospects contactés</t>
  </si>
  <si>
    <t>Nb appels argumentés</t>
  </si>
  <si>
    <t>Nb Devis</t>
  </si>
  <si>
    <t>Nb Ventes</t>
  </si>
  <si>
    <t>Elsa</t>
  </si>
  <si>
    <t>Rayan</t>
  </si>
  <si>
    <t>Vous</t>
  </si>
  <si>
    <t>Objectifs fixés à l'équipe en fonction des standards de prospection</t>
  </si>
  <si>
    <t>Nombre d'appels à réaliser sur les deux jours</t>
  </si>
  <si>
    <t>Nombre de prospects à contacter</t>
  </si>
  <si>
    <t>Equipe</t>
  </si>
  <si>
    <t>NB de prospects à appeler</t>
  </si>
  <si>
    <t>Nb de prospects contactés</t>
  </si>
  <si>
    <t>Nb d'appels argumentés</t>
  </si>
  <si>
    <t>Nb de ventes</t>
  </si>
  <si>
    <t>réel</t>
  </si>
  <si>
    <t>Objectif</t>
  </si>
  <si>
    <t>Nombre de plaquettes envoyées par 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</si>
</sst>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rgb="FFFF0000"/>
      <name val="Arial"/>
      <family val="2"/>
    </font>
    <font>
      <b/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44" fontId="0" fillId="0" borderId="0" xfId="1" applyFont="1"/>
    <xf numFmtId="9" fontId="0" fillId="0" borderId="0" xfId="2" applyFont="1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4" xfId="0" applyFont="1" applyBorder="1" applyAlignment="1">
      <alignment horizontal="right" vertical="center" wrapText="1" indent="3"/>
    </xf>
    <xf numFmtId="0" fontId="4" fillId="0" borderId="6" xfId="0" applyFont="1" applyBorder="1" applyAlignment="1">
      <alignment horizontal="right" vertical="center" wrapText="1" indent="3"/>
    </xf>
    <xf numFmtId="0" fontId="3" fillId="0" borderId="0" xfId="0" applyFont="1"/>
    <xf numFmtId="0" fontId="3" fillId="0" borderId="0" xfId="0" applyFont="1" applyAlignment="1">
      <alignment horizontal="left" vertical="top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wrapText="1"/>
    </xf>
    <xf numFmtId="9" fontId="2" fillId="0" borderId="2" xfId="2" applyFont="1" applyBorder="1" applyAlignment="1">
      <alignment horizontal="center"/>
    </xf>
    <xf numFmtId="0" fontId="7" fillId="0" borderId="2" xfId="0" applyFont="1" applyBorder="1" applyAlignment="1">
      <alignment horizontal="left" vertical="top" wrapText="1"/>
    </xf>
    <xf numFmtId="9" fontId="2" fillId="0" borderId="2" xfId="2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10" fontId="2" fillId="0" borderId="0" xfId="2" applyNumberFormat="1" applyFont="1"/>
    <xf numFmtId="0" fontId="2" fillId="0" borderId="2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0" fontId="2" fillId="0" borderId="2" xfId="2" applyNumberFormat="1" applyFont="1" applyBorder="1" applyAlignment="1">
      <alignment horizontal="center" vertical="center"/>
    </xf>
    <xf numFmtId="10" fontId="2" fillId="0" borderId="2" xfId="2" applyNumberFormat="1" applyFont="1" applyBorder="1" applyAlignment="1">
      <alignment horizontal="center"/>
    </xf>
    <xf numFmtId="0" fontId="0" fillId="0" borderId="0" xfId="0" applyAlignment="1">
      <alignment wrapText="1"/>
    </xf>
    <xf numFmtId="44" fontId="2" fillId="0" borderId="0" xfId="0" applyNumberFormat="1" applyFont="1"/>
    <xf numFmtId="0" fontId="2" fillId="0" borderId="0" xfId="0" applyNumberFormat="1" applyFont="1"/>
    <xf numFmtId="9" fontId="2" fillId="0" borderId="0" xfId="2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9" fontId="2" fillId="0" borderId="2" xfId="2" applyFont="1" applyBorder="1"/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applyAlignment="1">
      <alignment horizontal="center" vertical="center" wrapText="1"/>
    </xf>
    <xf numFmtId="0" fontId="2" fillId="0" borderId="9" xfId="0" applyFont="1" applyBorder="1"/>
    <xf numFmtId="0" fontId="2" fillId="0" borderId="0" xfId="0" applyFont="1" applyAlignment="1">
      <alignment wrapText="1"/>
    </xf>
    <xf numFmtId="0" fontId="2" fillId="0" borderId="2" xfId="2" applyNumberFormat="1" applyFont="1" applyBorder="1"/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A2DD8CC5-7276-429D-A714-B0A5CE1F0CD7}" type="doc">
      <dgm:prSet loTypeId="urn:microsoft.com/office/officeart/2005/8/layout/hierarchy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fr-FR"/>
        </a:p>
      </dgm:t>
    </dgm:pt>
    <dgm:pt modelId="{A33C657C-9C22-4770-98FF-3119702D5EAF}">
      <dgm:prSet phldrT="[Texte]"/>
      <dgm:spPr/>
      <dgm:t>
        <a:bodyPr/>
        <a:lstStyle/>
        <a:p>
          <a:r>
            <a:rPr lang="fr-FR"/>
            <a:t>Nb de flyers distribués</a:t>
          </a:r>
        </a:p>
        <a:p>
          <a:r>
            <a:rPr lang="fr-FR"/>
            <a:t>1500</a:t>
          </a:r>
        </a:p>
      </dgm:t>
    </dgm:pt>
    <dgm:pt modelId="{E352BD2A-473F-4E67-B4E8-95B5E2EDD5B0}" type="parTrans" cxnId="{2AB9EE48-03FB-404A-8232-7451C7788384}">
      <dgm:prSet/>
      <dgm:spPr/>
      <dgm:t>
        <a:bodyPr/>
        <a:lstStyle/>
        <a:p>
          <a:endParaRPr lang="fr-FR"/>
        </a:p>
      </dgm:t>
    </dgm:pt>
    <dgm:pt modelId="{66FE5C04-2027-4C9E-AA00-CDD8BCF04229}" type="sibTrans" cxnId="{2AB9EE48-03FB-404A-8232-7451C7788384}">
      <dgm:prSet/>
      <dgm:spPr/>
      <dgm:t>
        <a:bodyPr/>
        <a:lstStyle/>
        <a:p>
          <a:endParaRPr lang="fr-FR"/>
        </a:p>
      </dgm:t>
    </dgm:pt>
    <dgm:pt modelId="{3D3F876C-7860-48BF-86DA-FF3787951DAF}">
      <dgm:prSet phldrT="[Texte]"/>
      <dgm:spPr/>
      <dgm:t>
        <a:bodyPr/>
        <a:lstStyle/>
        <a:p>
          <a:r>
            <a:rPr lang="fr-FR"/>
            <a:t>Mode A</a:t>
          </a:r>
        </a:p>
        <a:p>
          <a:r>
            <a:rPr lang="fr-FR"/>
            <a:t>250 soit 17%</a:t>
          </a:r>
        </a:p>
      </dgm:t>
    </dgm:pt>
    <dgm:pt modelId="{2ECCF99E-5A87-4B3D-8C85-15F0459474C5}" type="parTrans" cxnId="{B2B543F6-60F2-4B04-BB68-0C10753B89AC}">
      <dgm:prSet/>
      <dgm:spPr/>
      <dgm:t>
        <a:bodyPr/>
        <a:lstStyle/>
        <a:p>
          <a:endParaRPr lang="fr-FR"/>
        </a:p>
      </dgm:t>
    </dgm:pt>
    <dgm:pt modelId="{F8A93F59-E7B1-4A03-B971-676AF5D2098B}" type="sibTrans" cxnId="{B2B543F6-60F2-4B04-BB68-0C10753B89AC}">
      <dgm:prSet/>
      <dgm:spPr/>
      <dgm:t>
        <a:bodyPr/>
        <a:lstStyle/>
        <a:p>
          <a:endParaRPr lang="fr-FR"/>
        </a:p>
      </dgm:t>
    </dgm:pt>
    <dgm:pt modelId="{712274FE-35AC-468A-B535-5C98B59F8678}">
      <dgm:prSet phldrT="[Texte]"/>
      <dgm:spPr/>
      <dgm:t>
        <a:bodyPr/>
        <a:lstStyle/>
        <a:p>
          <a:r>
            <a:rPr lang="fr-FR"/>
            <a:t>57 clients venus en agence soit 23%</a:t>
          </a:r>
        </a:p>
      </dgm:t>
    </dgm:pt>
    <dgm:pt modelId="{A2256612-272A-443B-9C65-A070F999B2F1}" type="parTrans" cxnId="{9C78A47C-72FA-4503-A5A3-1B799930EE98}">
      <dgm:prSet/>
      <dgm:spPr/>
      <dgm:t>
        <a:bodyPr/>
        <a:lstStyle/>
        <a:p>
          <a:endParaRPr lang="fr-FR"/>
        </a:p>
      </dgm:t>
    </dgm:pt>
    <dgm:pt modelId="{E4047404-797E-4982-BE09-AEE0259A50C3}" type="sibTrans" cxnId="{9C78A47C-72FA-4503-A5A3-1B799930EE98}">
      <dgm:prSet/>
      <dgm:spPr/>
      <dgm:t>
        <a:bodyPr/>
        <a:lstStyle/>
        <a:p>
          <a:endParaRPr lang="fr-FR"/>
        </a:p>
      </dgm:t>
    </dgm:pt>
    <dgm:pt modelId="{52764A51-ABD0-459C-8101-2BB099546E69}">
      <dgm:prSet phldrT="[Texte]"/>
      <dgm:spPr/>
      <dgm:t>
        <a:bodyPr/>
        <a:lstStyle/>
        <a:p>
          <a:r>
            <a:rPr lang="fr-FR"/>
            <a:t>193 refus soit 77%</a:t>
          </a:r>
        </a:p>
      </dgm:t>
    </dgm:pt>
    <dgm:pt modelId="{677C349B-16C8-4A86-A42A-9F1EDE0C5654}" type="parTrans" cxnId="{36AC0770-27E4-4985-946F-A1B47C7B3A00}">
      <dgm:prSet/>
      <dgm:spPr/>
      <dgm:t>
        <a:bodyPr/>
        <a:lstStyle/>
        <a:p>
          <a:endParaRPr lang="fr-FR"/>
        </a:p>
      </dgm:t>
    </dgm:pt>
    <dgm:pt modelId="{0DE7DD20-2BFD-402A-BE53-395B9AAD6CB3}" type="sibTrans" cxnId="{36AC0770-27E4-4985-946F-A1B47C7B3A00}">
      <dgm:prSet/>
      <dgm:spPr/>
      <dgm:t>
        <a:bodyPr/>
        <a:lstStyle/>
        <a:p>
          <a:endParaRPr lang="fr-FR"/>
        </a:p>
      </dgm:t>
    </dgm:pt>
    <dgm:pt modelId="{3FEC4CE5-F505-4834-BC3D-7170B80DA91A}">
      <dgm:prSet phldrT="[Texte]"/>
      <dgm:spPr/>
      <dgm:t>
        <a:bodyPr/>
        <a:lstStyle/>
        <a:p>
          <a:r>
            <a:rPr lang="fr-FR"/>
            <a:t>Mode B</a:t>
          </a:r>
        </a:p>
        <a:p>
          <a:r>
            <a:rPr lang="fr-FR"/>
            <a:t>1250 soit 83%</a:t>
          </a:r>
        </a:p>
      </dgm:t>
    </dgm:pt>
    <dgm:pt modelId="{0CF1CD1E-52D9-4507-A892-37B0A8522D05}" type="parTrans" cxnId="{E9E63AC6-92C6-4A99-AC54-253D1839040B}">
      <dgm:prSet/>
      <dgm:spPr/>
      <dgm:t>
        <a:bodyPr/>
        <a:lstStyle/>
        <a:p>
          <a:endParaRPr lang="fr-FR"/>
        </a:p>
      </dgm:t>
    </dgm:pt>
    <dgm:pt modelId="{123834DE-E1D0-4F47-86B3-3C496B94A222}" type="sibTrans" cxnId="{E9E63AC6-92C6-4A99-AC54-253D1839040B}">
      <dgm:prSet/>
      <dgm:spPr/>
      <dgm:t>
        <a:bodyPr/>
        <a:lstStyle/>
        <a:p>
          <a:endParaRPr lang="fr-FR"/>
        </a:p>
      </dgm:t>
    </dgm:pt>
    <dgm:pt modelId="{C11F9284-E2D8-45D8-AD0E-FF0163CB6A75}">
      <dgm:prSet phldrT="[Texte]"/>
      <dgm:spPr/>
      <dgm:t>
        <a:bodyPr/>
        <a:lstStyle/>
        <a:p>
          <a:r>
            <a:rPr lang="fr-FR"/>
            <a:t>5 clients venus en agence soit 0,40%</a:t>
          </a:r>
        </a:p>
      </dgm:t>
    </dgm:pt>
    <dgm:pt modelId="{5D185B86-7AC2-4EF6-A0B5-61BCEDA29B3F}" type="parTrans" cxnId="{2484C502-3E88-497F-AD94-744C14068272}">
      <dgm:prSet/>
      <dgm:spPr/>
      <dgm:t>
        <a:bodyPr/>
        <a:lstStyle/>
        <a:p>
          <a:endParaRPr lang="fr-FR"/>
        </a:p>
      </dgm:t>
    </dgm:pt>
    <dgm:pt modelId="{368F1B7C-1F29-44AF-83ED-5CD9EEFAC02A}" type="sibTrans" cxnId="{2484C502-3E88-497F-AD94-744C14068272}">
      <dgm:prSet/>
      <dgm:spPr/>
      <dgm:t>
        <a:bodyPr/>
        <a:lstStyle/>
        <a:p>
          <a:endParaRPr lang="fr-FR"/>
        </a:p>
      </dgm:t>
    </dgm:pt>
    <dgm:pt modelId="{ED0653AE-EF09-47E4-B6A0-A4505644FE39}">
      <dgm:prSet/>
      <dgm:spPr/>
      <dgm:t>
        <a:bodyPr/>
        <a:lstStyle/>
        <a:p>
          <a:r>
            <a:rPr lang="fr-FR"/>
            <a:t>1245 refus soit 99,60%</a:t>
          </a:r>
        </a:p>
      </dgm:t>
    </dgm:pt>
    <dgm:pt modelId="{6192C34A-53F3-43FE-B261-DFD3056177B3}" type="parTrans" cxnId="{FA44AC8B-E201-4DE2-A71A-DD8DA035509E}">
      <dgm:prSet/>
      <dgm:spPr/>
      <dgm:t>
        <a:bodyPr/>
        <a:lstStyle/>
        <a:p>
          <a:endParaRPr lang="fr-FR"/>
        </a:p>
      </dgm:t>
    </dgm:pt>
    <dgm:pt modelId="{F13FAED6-45E3-4B27-A916-D7C3428F7BBD}" type="sibTrans" cxnId="{FA44AC8B-E201-4DE2-A71A-DD8DA035509E}">
      <dgm:prSet/>
      <dgm:spPr/>
      <dgm:t>
        <a:bodyPr/>
        <a:lstStyle/>
        <a:p>
          <a:endParaRPr lang="fr-FR"/>
        </a:p>
      </dgm:t>
    </dgm:pt>
    <dgm:pt modelId="{68EF4930-46DF-42BE-B709-13A68540E9EE}">
      <dgm:prSet/>
      <dgm:spPr/>
      <dgm:t>
        <a:bodyPr/>
        <a:lstStyle/>
        <a:p>
          <a:r>
            <a:rPr lang="fr-FR"/>
            <a:t>35 devis réalisés soit 61%</a:t>
          </a:r>
        </a:p>
      </dgm:t>
    </dgm:pt>
    <dgm:pt modelId="{E689ADE7-8A7B-4A80-9506-56F7DE5DE363}" type="parTrans" cxnId="{2489D13F-A0BD-4CC7-A484-AA9ECBA1465B}">
      <dgm:prSet/>
      <dgm:spPr/>
      <dgm:t>
        <a:bodyPr/>
        <a:lstStyle/>
        <a:p>
          <a:endParaRPr lang="fr-FR"/>
        </a:p>
      </dgm:t>
    </dgm:pt>
    <dgm:pt modelId="{F2679D12-8321-47FD-8BDC-7CD76286DE8C}" type="sibTrans" cxnId="{2489D13F-A0BD-4CC7-A484-AA9ECBA1465B}">
      <dgm:prSet/>
      <dgm:spPr/>
      <dgm:t>
        <a:bodyPr/>
        <a:lstStyle/>
        <a:p>
          <a:endParaRPr lang="fr-FR"/>
        </a:p>
      </dgm:t>
    </dgm:pt>
    <dgm:pt modelId="{BCAF0CFC-9F3B-443B-8EB4-8905863D0C33}">
      <dgm:prSet/>
      <dgm:spPr/>
      <dgm:t>
        <a:bodyPr/>
        <a:lstStyle/>
        <a:p>
          <a:r>
            <a:rPr lang="fr-FR"/>
            <a:t>22 pas de devis soit 39%</a:t>
          </a:r>
        </a:p>
      </dgm:t>
    </dgm:pt>
    <dgm:pt modelId="{660582B5-B08E-4596-9364-FA8803D4C706}" type="parTrans" cxnId="{3105B784-A40B-4016-A8F2-21EB03AD4224}">
      <dgm:prSet/>
      <dgm:spPr/>
      <dgm:t>
        <a:bodyPr/>
        <a:lstStyle/>
        <a:p>
          <a:endParaRPr lang="fr-FR"/>
        </a:p>
      </dgm:t>
    </dgm:pt>
    <dgm:pt modelId="{5984E3A6-4746-4B72-A955-294016577562}" type="sibTrans" cxnId="{3105B784-A40B-4016-A8F2-21EB03AD4224}">
      <dgm:prSet/>
      <dgm:spPr/>
      <dgm:t>
        <a:bodyPr/>
        <a:lstStyle/>
        <a:p>
          <a:endParaRPr lang="fr-FR"/>
        </a:p>
      </dgm:t>
    </dgm:pt>
    <dgm:pt modelId="{A673362B-7FB0-4E8E-B36E-39E00382F477}">
      <dgm:prSet/>
      <dgm:spPr/>
      <dgm:t>
        <a:bodyPr/>
        <a:lstStyle/>
        <a:p>
          <a:r>
            <a:rPr lang="fr-FR"/>
            <a:t>3 devis réalisés soit 60%</a:t>
          </a:r>
        </a:p>
      </dgm:t>
    </dgm:pt>
    <dgm:pt modelId="{1A0478A4-DE7C-48A3-A20C-987A2F85507E}" type="parTrans" cxnId="{9434794A-F5CB-4014-A850-323DA52B3E3C}">
      <dgm:prSet/>
      <dgm:spPr/>
      <dgm:t>
        <a:bodyPr/>
        <a:lstStyle/>
        <a:p>
          <a:endParaRPr lang="fr-FR"/>
        </a:p>
      </dgm:t>
    </dgm:pt>
    <dgm:pt modelId="{F126D6C2-6173-430B-8342-FFD354EB4918}" type="sibTrans" cxnId="{9434794A-F5CB-4014-A850-323DA52B3E3C}">
      <dgm:prSet/>
      <dgm:spPr/>
      <dgm:t>
        <a:bodyPr/>
        <a:lstStyle/>
        <a:p>
          <a:endParaRPr lang="fr-FR"/>
        </a:p>
      </dgm:t>
    </dgm:pt>
    <dgm:pt modelId="{605D4DB7-BC9B-484C-9C70-5D41A733FFA4}">
      <dgm:prSet/>
      <dgm:spPr/>
      <dgm:t>
        <a:bodyPr/>
        <a:lstStyle/>
        <a:p>
          <a:r>
            <a:rPr lang="fr-FR"/>
            <a:t>2 pas devis soit 40%</a:t>
          </a:r>
        </a:p>
      </dgm:t>
    </dgm:pt>
    <dgm:pt modelId="{9B73D38D-8F18-4B9C-8CB9-3C7ABB9B507A}" type="parTrans" cxnId="{32A87A4F-F9E4-4445-BDD6-E991D3EEFCE7}">
      <dgm:prSet/>
      <dgm:spPr/>
      <dgm:t>
        <a:bodyPr/>
        <a:lstStyle/>
        <a:p>
          <a:endParaRPr lang="fr-FR"/>
        </a:p>
      </dgm:t>
    </dgm:pt>
    <dgm:pt modelId="{EF5D6ED9-898D-47F9-985C-F2586684403B}" type="sibTrans" cxnId="{32A87A4F-F9E4-4445-BDD6-E991D3EEFCE7}">
      <dgm:prSet/>
      <dgm:spPr/>
      <dgm:t>
        <a:bodyPr/>
        <a:lstStyle/>
        <a:p>
          <a:endParaRPr lang="fr-FR"/>
        </a:p>
      </dgm:t>
    </dgm:pt>
    <dgm:pt modelId="{A1C63A8B-8918-4E2A-B1FE-20E8E62D777B}">
      <dgm:prSet/>
      <dgm:spPr/>
      <dgm:t>
        <a:bodyPr/>
        <a:lstStyle/>
        <a:p>
          <a:r>
            <a:rPr lang="fr-FR"/>
            <a:t>30 devis signés</a:t>
          </a:r>
        </a:p>
      </dgm:t>
    </dgm:pt>
    <dgm:pt modelId="{2BC6660B-C26F-40F3-9FC1-267C2A7E5A1B}" type="parTrans" cxnId="{0A45F964-4EC1-4473-B789-3C2C3A87BD18}">
      <dgm:prSet/>
      <dgm:spPr/>
      <dgm:t>
        <a:bodyPr/>
        <a:lstStyle/>
        <a:p>
          <a:endParaRPr lang="fr-FR"/>
        </a:p>
      </dgm:t>
    </dgm:pt>
    <dgm:pt modelId="{13D9D88D-C5DD-4329-9A72-854A923BBA86}" type="sibTrans" cxnId="{0A45F964-4EC1-4473-B789-3C2C3A87BD18}">
      <dgm:prSet/>
      <dgm:spPr/>
      <dgm:t>
        <a:bodyPr/>
        <a:lstStyle/>
        <a:p>
          <a:endParaRPr lang="fr-FR"/>
        </a:p>
      </dgm:t>
    </dgm:pt>
    <dgm:pt modelId="{1BD2CD22-DC3F-446A-8D6E-24F295B5FAEC}">
      <dgm:prSet/>
      <dgm:spPr/>
      <dgm:t>
        <a:bodyPr/>
        <a:lstStyle/>
        <a:p>
          <a:r>
            <a:rPr lang="fr-FR"/>
            <a:t>2 devis signés</a:t>
          </a:r>
        </a:p>
      </dgm:t>
    </dgm:pt>
    <dgm:pt modelId="{5B36F2C9-9AB0-4E6D-8B75-A06900E5CD48}" type="parTrans" cxnId="{D86F44BD-EC66-45A4-AD23-2D46F01C0490}">
      <dgm:prSet/>
      <dgm:spPr/>
      <dgm:t>
        <a:bodyPr/>
        <a:lstStyle/>
        <a:p>
          <a:endParaRPr lang="fr-FR"/>
        </a:p>
      </dgm:t>
    </dgm:pt>
    <dgm:pt modelId="{7B721144-418D-4ABD-BFBA-7A70680BBD18}" type="sibTrans" cxnId="{D86F44BD-EC66-45A4-AD23-2D46F01C0490}">
      <dgm:prSet/>
      <dgm:spPr/>
      <dgm:t>
        <a:bodyPr/>
        <a:lstStyle/>
        <a:p>
          <a:endParaRPr lang="fr-FR"/>
        </a:p>
      </dgm:t>
    </dgm:pt>
    <dgm:pt modelId="{F412B7F9-B529-4AAA-B4C1-4AC07F6F8906}" type="pres">
      <dgm:prSet presAssocID="{A2DD8CC5-7276-429D-A714-B0A5CE1F0CD7}" presName="hierChild1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69E85A62-819D-4C3C-9408-4176CE652D9A}" type="pres">
      <dgm:prSet presAssocID="{A33C657C-9C22-4770-98FF-3119702D5EAF}" presName="hierRoot1" presStyleCnt="0"/>
      <dgm:spPr/>
    </dgm:pt>
    <dgm:pt modelId="{AA3A89CB-00F0-49CD-AC1D-25F575D06C75}" type="pres">
      <dgm:prSet presAssocID="{A33C657C-9C22-4770-98FF-3119702D5EAF}" presName="composite" presStyleCnt="0"/>
      <dgm:spPr/>
    </dgm:pt>
    <dgm:pt modelId="{FC60552A-D406-4B90-B8BD-24BB9C6EA446}" type="pres">
      <dgm:prSet presAssocID="{A33C657C-9C22-4770-98FF-3119702D5EAF}" presName="background" presStyleLbl="node0" presStyleIdx="0" presStyleCnt="1"/>
      <dgm:spPr/>
    </dgm:pt>
    <dgm:pt modelId="{5DF448E7-C0E4-4C3F-8A02-6D7DF0D014AA}" type="pres">
      <dgm:prSet presAssocID="{A33C657C-9C22-4770-98FF-3119702D5EAF}" presName="text" presStyleLbl="fgAcc0" presStyleIdx="0" presStyleCnt="1">
        <dgm:presLayoutVars>
          <dgm:chPref val="3"/>
        </dgm:presLayoutVars>
      </dgm:prSet>
      <dgm:spPr/>
    </dgm:pt>
    <dgm:pt modelId="{D492F543-75B6-4FEC-BC2A-47A3DFF30F0D}" type="pres">
      <dgm:prSet presAssocID="{A33C657C-9C22-4770-98FF-3119702D5EAF}" presName="hierChild2" presStyleCnt="0"/>
      <dgm:spPr/>
    </dgm:pt>
    <dgm:pt modelId="{2B87006E-FFD3-4EDB-B417-8153557C5D61}" type="pres">
      <dgm:prSet presAssocID="{2ECCF99E-5A87-4B3D-8C85-15F0459474C5}" presName="Name10" presStyleLbl="parChTrans1D2" presStyleIdx="0" presStyleCnt="2"/>
      <dgm:spPr/>
    </dgm:pt>
    <dgm:pt modelId="{72F58B03-15E8-49DB-B635-12005927ED94}" type="pres">
      <dgm:prSet presAssocID="{3D3F876C-7860-48BF-86DA-FF3787951DAF}" presName="hierRoot2" presStyleCnt="0"/>
      <dgm:spPr/>
    </dgm:pt>
    <dgm:pt modelId="{F0CC97F5-B504-45B8-9FC5-1A3EBA2920CE}" type="pres">
      <dgm:prSet presAssocID="{3D3F876C-7860-48BF-86DA-FF3787951DAF}" presName="composite2" presStyleCnt="0"/>
      <dgm:spPr/>
    </dgm:pt>
    <dgm:pt modelId="{82EC7206-14DD-4616-A424-5DD8F9762E0B}" type="pres">
      <dgm:prSet presAssocID="{3D3F876C-7860-48BF-86DA-FF3787951DAF}" presName="background2" presStyleLbl="node2" presStyleIdx="0" presStyleCnt="2"/>
      <dgm:spPr/>
    </dgm:pt>
    <dgm:pt modelId="{7C8F5BD4-8828-464E-BB93-AAB5E7B7A2B8}" type="pres">
      <dgm:prSet presAssocID="{3D3F876C-7860-48BF-86DA-FF3787951DAF}" presName="text2" presStyleLbl="fgAcc2" presStyleIdx="0" presStyleCnt="2">
        <dgm:presLayoutVars>
          <dgm:chPref val="3"/>
        </dgm:presLayoutVars>
      </dgm:prSet>
      <dgm:spPr/>
    </dgm:pt>
    <dgm:pt modelId="{0CC8C91E-8D4D-4218-B0D7-E40520D00CFB}" type="pres">
      <dgm:prSet presAssocID="{3D3F876C-7860-48BF-86DA-FF3787951DAF}" presName="hierChild3" presStyleCnt="0"/>
      <dgm:spPr/>
    </dgm:pt>
    <dgm:pt modelId="{62C125D6-C9A1-43F1-A186-C3BB08DDA2E3}" type="pres">
      <dgm:prSet presAssocID="{A2256612-272A-443B-9C65-A070F999B2F1}" presName="Name17" presStyleLbl="parChTrans1D3" presStyleIdx="0" presStyleCnt="4"/>
      <dgm:spPr/>
    </dgm:pt>
    <dgm:pt modelId="{44E0BCA4-390A-4978-A8F6-5518FEEA8578}" type="pres">
      <dgm:prSet presAssocID="{712274FE-35AC-468A-B535-5C98B59F8678}" presName="hierRoot3" presStyleCnt="0"/>
      <dgm:spPr/>
    </dgm:pt>
    <dgm:pt modelId="{F6DE4134-B173-4E6D-B9E0-DAF8445C3165}" type="pres">
      <dgm:prSet presAssocID="{712274FE-35AC-468A-B535-5C98B59F8678}" presName="composite3" presStyleCnt="0"/>
      <dgm:spPr/>
    </dgm:pt>
    <dgm:pt modelId="{51D16BE5-0892-4E55-9894-433E07603C67}" type="pres">
      <dgm:prSet presAssocID="{712274FE-35AC-468A-B535-5C98B59F8678}" presName="background3" presStyleLbl="node3" presStyleIdx="0" presStyleCnt="4"/>
      <dgm:spPr/>
    </dgm:pt>
    <dgm:pt modelId="{CADBE411-2C03-4163-9B9E-E1D4EA0496D5}" type="pres">
      <dgm:prSet presAssocID="{712274FE-35AC-468A-B535-5C98B59F8678}" presName="text3" presStyleLbl="fgAcc3" presStyleIdx="0" presStyleCnt="4">
        <dgm:presLayoutVars>
          <dgm:chPref val="3"/>
        </dgm:presLayoutVars>
      </dgm:prSet>
      <dgm:spPr/>
    </dgm:pt>
    <dgm:pt modelId="{795760B8-D5B5-464D-BD7E-B883A25BA7D1}" type="pres">
      <dgm:prSet presAssocID="{712274FE-35AC-468A-B535-5C98B59F8678}" presName="hierChild4" presStyleCnt="0"/>
      <dgm:spPr/>
    </dgm:pt>
    <dgm:pt modelId="{7B410FFB-AB3A-4D86-8851-97EF3A0320C7}" type="pres">
      <dgm:prSet presAssocID="{E689ADE7-8A7B-4A80-9506-56F7DE5DE363}" presName="Name23" presStyleLbl="parChTrans1D4" presStyleIdx="0" presStyleCnt="6"/>
      <dgm:spPr/>
    </dgm:pt>
    <dgm:pt modelId="{4D9A4941-1845-457F-B233-C6B1C1A15401}" type="pres">
      <dgm:prSet presAssocID="{68EF4930-46DF-42BE-B709-13A68540E9EE}" presName="hierRoot4" presStyleCnt="0"/>
      <dgm:spPr/>
    </dgm:pt>
    <dgm:pt modelId="{7FEACBAD-69A8-40BD-8B6E-249637C90DA5}" type="pres">
      <dgm:prSet presAssocID="{68EF4930-46DF-42BE-B709-13A68540E9EE}" presName="composite4" presStyleCnt="0"/>
      <dgm:spPr/>
    </dgm:pt>
    <dgm:pt modelId="{279E7531-C41E-4526-9798-34F0531EF59F}" type="pres">
      <dgm:prSet presAssocID="{68EF4930-46DF-42BE-B709-13A68540E9EE}" presName="background4" presStyleLbl="node4" presStyleIdx="0" presStyleCnt="6"/>
      <dgm:spPr/>
    </dgm:pt>
    <dgm:pt modelId="{72743D32-D933-48D6-88A4-24E1CB088E33}" type="pres">
      <dgm:prSet presAssocID="{68EF4930-46DF-42BE-B709-13A68540E9EE}" presName="text4" presStyleLbl="fgAcc4" presStyleIdx="0" presStyleCnt="6">
        <dgm:presLayoutVars>
          <dgm:chPref val="3"/>
        </dgm:presLayoutVars>
      </dgm:prSet>
      <dgm:spPr/>
    </dgm:pt>
    <dgm:pt modelId="{351EC108-C104-4D48-9F42-9114B54C2DBC}" type="pres">
      <dgm:prSet presAssocID="{68EF4930-46DF-42BE-B709-13A68540E9EE}" presName="hierChild5" presStyleCnt="0"/>
      <dgm:spPr/>
    </dgm:pt>
    <dgm:pt modelId="{35566D27-6579-4688-8F36-F7FC342C10EF}" type="pres">
      <dgm:prSet presAssocID="{2BC6660B-C26F-40F3-9FC1-267C2A7E5A1B}" presName="Name23" presStyleLbl="parChTrans1D4" presStyleIdx="1" presStyleCnt="6"/>
      <dgm:spPr/>
    </dgm:pt>
    <dgm:pt modelId="{D8730304-9BA5-4BC2-BD94-BA7633140659}" type="pres">
      <dgm:prSet presAssocID="{A1C63A8B-8918-4E2A-B1FE-20E8E62D777B}" presName="hierRoot4" presStyleCnt="0"/>
      <dgm:spPr/>
    </dgm:pt>
    <dgm:pt modelId="{FF6C3C88-28B6-4274-9C5A-E24952FED47C}" type="pres">
      <dgm:prSet presAssocID="{A1C63A8B-8918-4E2A-B1FE-20E8E62D777B}" presName="composite4" presStyleCnt="0"/>
      <dgm:spPr/>
    </dgm:pt>
    <dgm:pt modelId="{E1980952-B135-4CBC-BF78-F8340D0919AA}" type="pres">
      <dgm:prSet presAssocID="{A1C63A8B-8918-4E2A-B1FE-20E8E62D777B}" presName="background4" presStyleLbl="node4" presStyleIdx="1" presStyleCnt="6"/>
      <dgm:spPr/>
    </dgm:pt>
    <dgm:pt modelId="{67FCB10C-549A-4824-970D-9E10BDD92A64}" type="pres">
      <dgm:prSet presAssocID="{A1C63A8B-8918-4E2A-B1FE-20E8E62D777B}" presName="text4" presStyleLbl="fgAcc4" presStyleIdx="1" presStyleCnt="6">
        <dgm:presLayoutVars>
          <dgm:chPref val="3"/>
        </dgm:presLayoutVars>
      </dgm:prSet>
      <dgm:spPr/>
    </dgm:pt>
    <dgm:pt modelId="{FD2B9622-C00D-4E34-9647-2E86C22EF358}" type="pres">
      <dgm:prSet presAssocID="{A1C63A8B-8918-4E2A-B1FE-20E8E62D777B}" presName="hierChild5" presStyleCnt="0"/>
      <dgm:spPr/>
    </dgm:pt>
    <dgm:pt modelId="{80203858-4CEB-4896-91FE-22BD4BEAE412}" type="pres">
      <dgm:prSet presAssocID="{660582B5-B08E-4596-9364-FA8803D4C706}" presName="Name23" presStyleLbl="parChTrans1D4" presStyleIdx="2" presStyleCnt="6"/>
      <dgm:spPr/>
    </dgm:pt>
    <dgm:pt modelId="{79638C62-CE94-495C-A67D-D3D77A67663D}" type="pres">
      <dgm:prSet presAssocID="{BCAF0CFC-9F3B-443B-8EB4-8905863D0C33}" presName="hierRoot4" presStyleCnt="0"/>
      <dgm:spPr/>
    </dgm:pt>
    <dgm:pt modelId="{D3396F9A-A4EC-494D-8C3E-D0BBAAFCE7D1}" type="pres">
      <dgm:prSet presAssocID="{BCAF0CFC-9F3B-443B-8EB4-8905863D0C33}" presName="composite4" presStyleCnt="0"/>
      <dgm:spPr/>
    </dgm:pt>
    <dgm:pt modelId="{01493F08-49BD-4785-B40B-92200F16641A}" type="pres">
      <dgm:prSet presAssocID="{BCAF0CFC-9F3B-443B-8EB4-8905863D0C33}" presName="background4" presStyleLbl="node4" presStyleIdx="2" presStyleCnt="6"/>
      <dgm:spPr/>
    </dgm:pt>
    <dgm:pt modelId="{6EEE92C7-73F1-479F-9FDF-F81B714AE696}" type="pres">
      <dgm:prSet presAssocID="{BCAF0CFC-9F3B-443B-8EB4-8905863D0C33}" presName="text4" presStyleLbl="fgAcc4" presStyleIdx="2" presStyleCnt="6">
        <dgm:presLayoutVars>
          <dgm:chPref val="3"/>
        </dgm:presLayoutVars>
      </dgm:prSet>
      <dgm:spPr/>
    </dgm:pt>
    <dgm:pt modelId="{82B96D8E-19C2-4370-AA69-080302ED6D34}" type="pres">
      <dgm:prSet presAssocID="{BCAF0CFC-9F3B-443B-8EB4-8905863D0C33}" presName="hierChild5" presStyleCnt="0"/>
      <dgm:spPr/>
    </dgm:pt>
    <dgm:pt modelId="{CC5C9B4E-6535-41F9-9339-80DDFF870222}" type="pres">
      <dgm:prSet presAssocID="{677C349B-16C8-4A86-A42A-9F1EDE0C5654}" presName="Name17" presStyleLbl="parChTrans1D3" presStyleIdx="1" presStyleCnt="4"/>
      <dgm:spPr/>
    </dgm:pt>
    <dgm:pt modelId="{4D8AF3DD-45D5-4C5E-B2B7-C0172ED37AD1}" type="pres">
      <dgm:prSet presAssocID="{52764A51-ABD0-459C-8101-2BB099546E69}" presName="hierRoot3" presStyleCnt="0"/>
      <dgm:spPr/>
    </dgm:pt>
    <dgm:pt modelId="{56ED980C-FFA6-4626-AA79-708F9A33C6B5}" type="pres">
      <dgm:prSet presAssocID="{52764A51-ABD0-459C-8101-2BB099546E69}" presName="composite3" presStyleCnt="0"/>
      <dgm:spPr/>
    </dgm:pt>
    <dgm:pt modelId="{89D4F7A3-57F8-42FA-9449-7D7CE01E2766}" type="pres">
      <dgm:prSet presAssocID="{52764A51-ABD0-459C-8101-2BB099546E69}" presName="background3" presStyleLbl="node3" presStyleIdx="1" presStyleCnt="4"/>
      <dgm:spPr/>
    </dgm:pt>
    <dgm:pt modelId="{1AD8FC48-B9AC-48EE-9FFD-45B3D8FE94C1}" type="pres">
      <dgm:prSet presAssocID="{52764A51-ABD0-459C-8101-2BB099546E69}" presName="text3" presStyleLbl="fgAcc3" presStyleIdx="1" presStyleCnt="4">
        <dgm:presLayoutVars>
          <dgm:chPref val="3"/>
        </dgm:presLayoutVars>
      </dgm:prSet>
      <dgm:spPr/>
    </dgm:pt>
    <dgm:pt modelId="{E8C822F5-D899-4ED4-9E07-1AEDE5E41AE7}" type="pres">
      <dgm:prSet presAssocID="{52764A51-ABD0-459C-8101-2BB099546E69}" presName="hierChild4" presStyleCnt="0"/>
      <dgm:spPr/>
    </dgm:pt>
    <dgm:pt modelId="{E9F9B13C-C016-4B5B-9A53-6616494F264F}" type="pres">
      <dgm:prSet presAssocID="{0CF1CD1E-52D9-4507-A892-37B0A8522D05}" presName="Name10" presStyleLbl="parChTrans1D2" presStyleIdx="1" presStyleCnt="2"/>
      <dgm:spPr/>
    </dgm:pt>
    <dgm:pt modelId="{80F0FD15-E463-43FA-B2C7-2CC0BE3477A8}" type="pres">
      <dgm:prSet presAssocID="{3FEC4CE5-F505-4834-BC3D-7170B80DA91A}" presName="hierRoot2" presStyleCnt="0"/>
      <dgm:spPr/>
    </dgm:pt>
    <dgm:pt modelId="{15DF473F-381D-4C1D-97B9-0E1E01A30B63}" type="pres">
      <dgm:prSet presAssocID="{3FEC4CE5-F505-4834-BC3D-7170B80DA91A}" presName="composite2" presStyleCnt="0"/>
      <dgm:spPr/>
    </dgm:pt>
    <dgm:pt modelId="{9B4EA36C-614A-4020-B2C0-07E688548FE4}" type="pres">
      <dgm:prSet presAssocID="{3FEC4CE5-F505-4834-BC3D-7170B80DA91A}" presName="background2" presStyleLbl="node2" presStyleIdx="1" presStyleCnt="2"/>
      <dgm:spPr/>
    </dgm:pt>
    <dgm:pt modelId="{EBB08151-95DE-4748-833E-331B5BD2D91A}" type="pres">
      <dgm:prSet presAssocID="{3FEC4CE5-F505-4834-BC3D-7170B80DA91A}" presName="text2" presStyleLbl="fgAcc2" presStyleIdx="1" presStyleCnt="2">
        <dgm:presLayoutVars>
          <dgm:chPref val="3"/>
        </dgm:presLayoutVars>
      </dgm:prSet>
      <dgm:spPr/>
    </dgm:pt>
    <dgm:pt modelId="{9B0A9D5B-6CF6-4FEF-84FE-3F9F30FFA234}" type="pres">
      <dgm:prSet presAssocID="{3FEC4CE5-F505-4834-BC3D-7170B80DA91A}" presName="hierChild3" presStyleCnt="0"/>
      <dgm:spPr/>
    </dgm:pt>
    <dgm:pt modelId="{18D8BFD3-8855-4373-AFCE-129CD05D448D}" type="pres">
      <dgm:prSet presAssocID="{5D185B86-7AC2-4EF6-A0B5-61BCEDA29B3F}" presName="Name17" presStyleLbl="parChTrans1D3" presStyleIdx="2" presStyleCnt="4"/>
      <dgm:spPr/>
    </dgm:pt>
    <dgm:pt modelId="{40CA081C-2884-4356-BDBA-4AE3583A0619}" type="pres">
      <dgm:prSet presAssocID="{C11F9284-E2D8-45D8-AD0E-FF0163CB6A75}" presName="hierRoot3" presStyleCnt="0"/>
      <dgm:spPr/>
    </dgm:pt>
    <dgm:pt modelId="{17A69FDB-D707-40D0-9310-21C801B17692}" type="pres">
      <dgm:prSet presAssocID="{C11F9284-E2D8-45D8-AD0E-FF0163CB6A75}" presName="composite3" presStyleCnt="0"/>
      <dgm:spPr/>
    </dgm:pt>
    <dgm:pt modelId="{F0A156A8-52F8-4B56-A9FD-52589E3B94EF}" type="pres">
      <dgm:prSet presAssocID="{C11F9284-E2D8-45D8-AD0E-FF0163CB6A75}" presName="background3" presStyleLbl="node3" presStyleIdx="2" presStyleCnt="4"/>
      <dgm:spPr/>
    </dgm:pt>
    <dgm:pt modelId="{B804AA83-BA73-4D91-B260-088A29077196}" type="pres">
      <dgm:prSet presAssocID="{C11F9284-E2D8-45D8-AD0E-FF0163CB6A75}" presName="text3" presStyleLbl="fgAcc3" presStyleIdx="2" presStyleCnt="4">
        <dgm:presLayoutVars>
          <dgm:chPref val="3"/>
        </dgm:presLayoutVars>
      </dgm:prSet>
      <dgm:spPr/>
    </dgm:pt>
    <dgm:pt modelId="{FD0C8A86-2912-40B8-BF9B-FE66AD70490B}" type="pres">
      <dgm:prSet presAssocID="{C11F9284-E2D8-45D8-AD0E-FF0163CB6A75}" presName="hierChild4" presStyleCnt="0"/>
      <dgm:spPr/>
    </dgm:pt>
    <dgm:pt modelId="{C1510053-DDE3-48D3-B9F9-499B62F3A6CD}" type="pres">
      <dgm:prSet presAssocID="{1A0478A4-DE7C-48A3-A20C-987A2F85507E}" presName="Name23" presStyleLbl="parChTrans1D4" presStyleIdx="3" presStyleCnt="6"/>
      <dgm:spPr/>
    </dgm:pt>
    <dgm:pt modelId="{4EB6F946-393F-4A9C-BA4A-321F78E32368}" type="pres">
      <dgm:prSet presAssocID="{A673362B-7FB0-4E8E-B36E-39E00382F477}" presName="hierRoot4" presStyleCnt="0"/>
      <dgm:spPr/>
    </dgm:pt>
    <dgm:pt modelId="{5F62102C-FD9A-4B5F-9282-1E1FC8131221}" type="pres">
      <dgm:prSet presAssocID="{A673362B-7FB0-4E8E-B36E-39E00382F477}" presName="composite4" presStyleCnt="0"/>
      <dgm:spPr/>
    </dgm:pt>
    <dgm:pt modelId="{98E57FF8-E14A-4F0A-AA1B-7E2915DD90BC}" type="pres">
      <dgm:prSet presAssocID="{A673362B-7FB0-4E8E-B36E-39E00382F477}" presName="background4" presStyleLbl="node4" presStyleIdx="3" presStyleCnt="6"/>
      <dgm:spPr/>
    </dgm:pt>
    <dgm:pt modelId="{44D6D7BF-8716-4721-9494-F84550088F7A}" type="pres">
      <dgm:prSet presAssocID="{A673362B-7FB0-4E8E-B36E-39E00382F477}" presName="text4" presStyleLbl="fgAcc4" presStyleIdx="3" presStyleCnt="6">
        <dgm:presLayoutVars>
          <dgm:chPref val="3"/>
        </dgm:presLayoutVars>
      </dgm:prSet>
      <dgm:spPr/>
    </dgm:pt>
    <dgm:pt modelId="{31E39172-1FD8-48E8-B3B9-C7CE63EE0118}" type="pres">
      <dgm:prSet presAssocID="{A673362B-7FB0-4E8E-B36E-39E00382F477}" presName="hierChild5" presStyleCnt="0"/>
      <dgm:spPr/>
    </dgm:pt>
    <dgm:pt modelId="{53E997E1-777C-48B2-A392-D1259ED3A8BE}" type="pres">
      <dgm:prSet presAssocID="{5B36F2C9-9AB0-4E6D-8B75-A06900E5CD48}" presName="Name23" presStyleLbl="parChTrans1D4" presStyleIdx="4" presStyleCnt="6"/>
      <dgm:spPr/>
    </dgm:pt>
    <dgm:pt modelId="{D27B96BA-2F71-40B6-9360-B2049D78156E}" type="pres">
      <dgm:prSet presAssocID="{1BD2CD22-DC3F-446A-8D6E-24F295B5FAEC}" presName="hierRoot4" presStyleCnt="0"/>
      <dgm:spPr/>
    </dgm:pt>
    <dgm:pt modelId="{00F4B24C-0193-4326-925F-32824F07C153}" type="pres">
      <dgm:prSet presAssocID="{1BD2CD22-DC3F-446A-8D6E-24F295B5FAEC}" presName="composite4" presStyleCnt="0"/>
      <dgm:spPr/>
    </dgm:pt>
    <dgm:pt modelId="{6BA44E60-BC28-4EAD-B2E3-F0647199839C}" type="pres">
      <dgm:prSet presAssocID="{1BD2CD22-DC3F-446A-8D6E-24F295B5FAEC}" presName="background4" presStyleLbl="node4" presStyleIdx="4" presStyleCnt="6"/>
      <dgm:spPr/>
    </dgm:pt>
    <dgm:pt modelId="{E9EF51FB-BCDA-41E2-B20C-6997B929F8CD}" type="pres">
      <dgm:prSet presAssocID="{1BD2CD22-DC3F-446A-8D6E-24F295B5FAEC}" presName="text4" presStyleLbl="fgAcc4" presStyleIdx="4" presStyleCnt="6">
        <dgm:presLayoutVars>
          <dgm:chPref val="3"/>
        </dgm:presLayoutVars>
      </dgm:prSet>
      <dgm:spPr/>
    </dgm:pt>
    <dgm:pt modelId="{16CCB2FA-31D3-4204-96DE-DA72F561B96D}" type="pres">
      <dgm:prSet presAssocID="{1BD2CD22-DC3F-446A-8D6E-24F295B5FAEC}" presName="hierChild5" presStyleCnt="0"/>
      <dgm:spPr/>
    </dgm:pt>
    <dgm:pt modelId="{DB4717BC-591A-48CC-84DF-4CC864AE6E2E}" type="pres">
      <dgm:prSet presAssocID="{9B73D38D-8F18-4B9C-8CB9-3C7ABB9B507A}" presName="Name23" presStyleLbl="parChTrans1D4" presStyleIdx="5" presStyleCnt="6"/>
      <dgm:spPr/>
    </dgm:pt>
    <dgm:pt modelId="{E28CAFA2-EE45-4511-A7F1-9558B70EE83D}" type="pres">
      <dgm:prSet presAssocID="{605D4DB7-BC9B-484C-9C70-5D41A733FFA4}" presName="hierRoot4" presStyleCnt="0"/>
      <dgm:spPr/>
    </dgm:pt>
    <dgm:pt modelId="{2EBDEDF1-AE2B-4F34-8CCB-73F4AEC1D12C}" type="pres">
      <dgm:prSet presAssocID="{605D4DB7-BC9B-484C-9C70-5D41A733FFA4}" presName="composite4" presStyleCnt="0"/>
      <dgm:spPr/>
    </dgm:pt>
    <dgm:pt modelId="{02642FDA-8A81-4932-80EC-2C64A2181E7A}" type="pres">
      <dgm:prSet presAssocID="{605D4DB7-BC9B-484C-9C70-5D41A733FFA4}" presName="background4" presStyleLbl="node4" presStyleIdx="5" presStyleCnt="6"/>
      <dgm:spPr/>
    </dgm:pt>
    <dgm:pt modelId="{57B37283-6F3E-442F-A9E7-97845C32F977}" type="pres">
      <dgm:prSet presAssocID="{605D4DB7-BC9B-484C-9C70-5D41A733FFA4}" presName="text4" presStyleLbl="fgAcc4" presStyleIdx="5" presStyleCnt="6">
        <dgm:presLayoutVars>
          <dgm:chPref val="3"/>
        </dgm:presLayoutVars>
      </dgm:prSet>
      <dgm:spPr/>
    </dgm:pt>
    <dgm:pt modelId="{AF580DF4-26F0-4C5D-B2C7-342869904923}" type="pres">
      <dgm:prSet presAssocID="{605D4DB7-BC9B-484C-9C70-5D41A733FFA4}" presName="hierChild5" presStyleCnt="0"/>
      <dgm:spPr/>
    </dgm:pt>
    <dgm:pt modelId="{2FA8D4DC-581E-497E-B5E7-7EC0AF961CFC}" type="pres">
      <dgm:prSet presAssocID="{6192C34A-53F3-43FE-B261-DFD3056177B3}" presName="Name17" presStyleLbl="parChTrans1D3" presStyleIdx="3" presStyleCnt="4"/>
      <dgm:spPr/>
    </dgm:pt>
    <dgm:pt modelId="{3C524257-ACC2-4C69-AF62-0E73FA2348CC}" type="pres">
      <dgm:prSet presAssocID="{ED0653AE-EF09-47E4-B6A0-A4505644FE39}" presName="hierRoot3" presStyleCnt="0"/>
      <dgm:spPr/>
    </dgm:pt>
    <dgm:pt modelId="{666D82EC-E33F-4604-A5C1-FC04C3785800}" type="pres">
      <dgm:prSet presAssocID="{ED0653AE-EF09-47E4-B6A0-A4505644FE39}" presName="composite3" presStyleCnt="0"/>
      <dgm:spPr/>
    </dgm:pt>
    <dgm:pt modelId="{29A4D8AA-2621-44C7-A82A-7A302D87CA24}" type="pres">
      <dgm:prSet presAssocID="{ED0653AE-EF09-47E4-B6A0-A4505644FE39}" presName="background3" presStyleLbl="node3" presStyleIdx="3" presStyleCnt="4"/>
      <dgm:spPr/>
    </dgm:pt>
    <dgm:pt modelId="{B58C9CC1-8F2E-45DF-9D16-557EBE7246FE}" type="pres">
      <dgm:prSet presAssocID="{ED0653AE-EF09-47E4-B6A0-A4505644FE39}" presName="text3" presStyleLbl="fgAcc3" presStyleIdx="3" presStyleCnt="4">
        <dgm:presLayoutVars>
          <dgm:chPref val="3"/>
        </dgm:presLayoutVars>
      </dgm:prSet>
      <dgm:spPr/>
    </dgm:pt>
    <dgm:pt modelId="{C14E3AE2-E66D-4621-86FD-6DF0FFE11207}" type="pres">
      <dgm:prSet presAssocID="{ED0653AE-EF09-47E4-B6A0-A4505644FE39}" presName="hierChild4" presStyleCnt="0"/>
      <dgm:spPr/>
    </dgm:pt>
  </dgm:ptLst>
  <dgm:cxnLst>
    <dgm:cxn modelId="{FE19D201-5085-43DF-90C7-A1E769B16D3F}" type="presOf" srcId="{E689ADE7-8A7B-4A80-9506-56F7DE5DE363}" destId="{7B410FFB-AB3A-4D86-8851-97EF3A0320C7}" srcOrd="0" destOrd="0" presId="urn:microsoft.com/office/officeart/2005/8/layout/hierarchy1"/>
    <dgm:cxn modelId="{2484C502-3E88-497F-AD94-744C14068272}" srcId="{3FEC4CE5-F505-4834-BC3D-7170B80DA91A}" destId="{C11F9284-E2D8-45D8-AD0E-FF0163CB6A75}" srcOrd="0" destOrd="0" parTransId="{5D185B86-7AC2-4EF6-A0B5-61BCEDA29B3F}" sibTransId="{368F1B7C-1F29-44AF-83ED-5CD9EEFAC02A}"/>
    <dgm:cxn modelId="{62689C10-0629-4DF1-A193-6676763AAAEE}" type="presOf" srcId="{9B73D38D-8F18-4B9C-8CB9-3C7ABB9B507A}" destId="{DB4717BC-591A-48CC-84DF-4CC864AE6E2E}" srcOrd="0" destOrd="0" presId="urn:microsoft.com/office/officeart/2005/8/layout/hierarchy1"/>
    <dgm:cxn modelId="{6DB1D110-3DC1-4EB3-A30F-48A261B2B510}" type="presOf" srcId="{1BD2CD22-DC3F-446A-8D6E-24F295B5FAEC}" destId="{E9EF51FB-BCDA-41E2-B20C-6997B929F8CD}" srcOrd="0" destOrd="0" presId="urn:microsoft.com/office/officeart/2005/8/layout/hierarchy1"/>
    <dgm:cxn modelId="{3F5F9B11-28A3-4434-9B9A-9C4F196E9D2E}" type="presOf" srcId="{3FEC4CE5-F505-4834-BC3D-7170B80DA91A}" destId="{EBB08151-95DE-4748-833E-331B5BD2D91A}" srcOrd="0" destOrd="0" presId="urn:microsoft.com/office/officeart/2005/8/layout/hierarchy1"/>
    <dgm:cxn modelId="{EA1A1B1A-1D81-4904-9687-E31BA86F9209}" type="presOf" srcId="{A2DD8CC5-7276-429D-A714-B0A5CE1F0CD7}" destId="{F412B7F9-B529-4AAA-B4C1-4AC07F6F8906}" srcOrd="0" destOrd="0" presId="urn:microsoft.com/office/officeart/2005/8/layout/hierarchy1"/>
    <dgm:cxn modelId="{FC6A3C1B-96F9-47E0-A1FD-E7EA339E80BE}" type="presOf" srcId="{68EF4930-46DF-42BE-B709-13A68540E9EE}" destId="{72743D32-D933-48D6-88A4-24E1CB088E33}" srcOrd="0" destOrd="0" presId="urn:microsoft.com/office/officeart/2005/8/layout/hierarchy1"/>
    <dgm:cxn modelId="{292B8F1C-862A-4417-A54B-1362DB72FF4C}" type="presOf" srcId="{52764A51-ABD0-459C-8101-2BB099546E69}" destId="{1AD8FC48-B9AC-48EE-9FFD-45B3D8FE94C1}" srcOrd="0" destOrd="0" presId="urn:microsoft.com/office/officeart/2005/8/layout/hierarchy1"/>
    <dgm:cxn modelId="{7112EA25-C5B0-4642-A671-7114B0955D1D}" type="presOf" srcId="{A673362B-7FB0-4E8E-B36E-39E00382F477}" destId="{44D6D7BF-8716-4721-9494-F84550088F7A}" srcOrd="0" destOrd="0" presId="urn:microsoft.com/office/officeart/2005/8/layout/hierarchy1"/>
    <dgm:cxn modelId="{B67FF62B-59DE-4FC3-8258-0F6A74710C10}" type="presOf" srcId="{3D3F876C-7860-48BF-86DA-FF3787951DAF}" destId="{7C8F5BD4-8828-464E-BB93-AAB5E7B7A2B8}" srcOrd="0" destOrd="0" presId="urn:microsoft.com/office/officeart/2005/8/layout/hierarchy1"/>
    <dgm:cxn modelId="{1FF8753E-5FFB-4B33-A12A-27EA18BA884C}" type="presOf" srcId="{677C349B-16C8-4A86-A42A-9F1EDE0C5654}" destId="{CC5C9B4E-6535-41F9-9339-80DDFF870222}" srcOrd="0" destOrd="0" presId="urn:microsoft.com/office/officeart/2005/8/layout/hierarchy1"/>
    <dgm:cxn modelId="{2489D13F-A0BD-4CC7-A484-AA9ECBA1465B}" srcId="{712274FE-35AC-468A-B535-5C98B59F8678}" destId="{68EF4930-46DF-42BE-B709-13A68540E9EE}" srcOrd="0" destOrd="0" parTransId="{E689ADE7-8A7B-4A80-9506-56F7DE5DE363}" sibTransId="{F2679D12-8321-47FD-8BDC-7CD76286DE8C}"/>
    <dgm:cxn modelId="{5C6F995E-93C8-4B23-9761-723F21EAF702}" type="presOf" srcId="{5D185B86-7AC2-4EF6-A0B5-61BCEDA29B3F}" destId="{18D8BFD3-8855-4373-AFCE-129CD05D448D}" srcOrd="0" destOrd="0" presId="urn:microsoft.com/office/officeart/2005/8/layout/hierarchy1"/>
    <dgm:cxn modelId="{0A45F964-4EC1-4473-B789-3C2C3A87BD18}" srcId="{68EF4930-46DF-42BE-B709-13A68540E9EE}" destId="{A1C63A8B-8918-4E2A-B1FE-20E8E62D777B}" srcOrd="0" destOrd="0" parTransId="{2BC6660B-C26F-40F3-9FC1-267C2A7E5A1B}" sibTransId="{13D9D88D-C5DD-4329-9A72-854A923BBA86}"/>
    <dgm:cxn modelId="{2AB9EE48-03FB-404A-8232-7451C7788384}" srcId="{A2DD8CC5-7276-429D-A714-B0A5CE1F0CD7}" destId="{A33C657C-9C22-4770-98FF-3119702D5EAF}" srcOrd="0" destOrd="0" parTransId="{E352BD2A-473F-4E67-B4E8-95B5E2EDD5B0}" sibTransId="{66FE5C04-2027-4C9E-AA00-CDD8BCF04229}"/>
    <dgm:cxn modelId="{08457049-EF22-46D0-BDC1-758ECD185308}" type="presOf" srcId="{660582B5-B08E-4596-9364-FA8803D4C706}" destId="{80203858-4CEB-4896-91FE-22BD4BEAE412}" srcOrd="0" destOrd="0" presId="urn:microsoft.com/office/officeart/2005/8/layout/hierarchy1"/>
    <dgm:cxn modelId="{9434794A-F5CB-4014-A850-323DA52B3E3C}" srcId="{C11F9284-E2D8-45D8-AD0E-FF0163CB6A75}" destId="{A673362B-7FB0-4E8E-B36E-39E00382F477}" srcOrd="0" destOrd="0" parTransId="{1A0478A4-DE7C-48A3-A20C-987A2F85507E}" sibTransId="{F126D6C2-6173-430B-8342-FFD354EB4918}"/>
    <dgm:cxn modelId="{32A87A4F-F9E4-4445-BDD6-E991D3EEFCE7}" srcId="{C11F9284-E2D8-45D8-AD0E-FF0163CB6A75}" destId="{605D4DB7-BC9B-484C-9C70-5D41A733FFA4}" srcOrd="1" destOrd="0" parTransId="{9B73D38D-8F18-4B9C-8CB9-3C7ABB9B507A}" sibTransId="{EF5D6ED9-898D-47F9-985C-F2586684403B}"/>
    <dgm:cxn modelId="{36AC0770-27E4-4985-946F-A1B47C7B3A00}" srcId="{3D3F876C-7860-48BF-86DA-FF3787951DAF}" destId="{52764A51-ABD0-459C-8101-2BB099546E69}" srcOrd="1" destOrd="0" parTransId="{677C349B-16C8-4A86-A42A-9F1EDE0C5654}" sibTransId="{0DE7DD20-2BFD-402A-BE53-395B9AAD6CB3}"/>
    <dgm:cxn modelId="{8D05DB71-A233-462E-9547-E2E6AD9933B5}" type="presOf" srcId="{5B36F2C9-9AB0-4E6D-8B75-A06900E5CD48}" destId="{53E997E1-777C-48B2-A392-D1259ED3A8BE}" srcOrd="0" destOrd="0" presId="urn:microsoft.com/office/officeart/2005/8/layout/hierarchy1"/>
    <dgm:cxn modelId="{887FCD79-F90D-46E6-8AEF-3F0D141CF5FF}" type="presOf" srcId="{6192C34A-53F3-43FE-B261-DFD3056177B3}" destId="{2FA8D4DC-581E-497E-B5E7-7EC0AF961CFC}" srcOrd="0" destOrd="0" presId="urn:microsoft.com/office/officeart/2005/8/layout/hierarchy1"/>
    <dgm:cxn modelId="{9C78A47C-72FA-4503-A5A3-1B799930EE98}" srcId="{3D3F876C-7860-48BF-86DA-FF3787951DAF}" destId="{712274FE-35AC-468A-B535-5C98B59F8678}" srcOrd="0" destOrd="0" parTransId="{A2256612-272A-443B-9C65-A070F999B2F1}" sibTransId="{E4047404-797E-4982-BE09-AEE0259A50C3}"/>
    <dgm:cxn modelId="{45BF877F-5665-4BEE-AC48-CDEDE8B59394}" type="presOf" srcId="{605D4DB7-BC9B-484C-9C70-5D41A733FFA4}" destId="{57B37283-6F3E-442F-A9E7-97845C32F977}" srcOrd="0" destOrd="0" presId="urn:microsoft.com/office/officeart/2005/8/layout/hierarchy1"/>
    <dgm:cxn modelId="{3105B784-A40B-4016-A8F2-21EB03AD4224}" srcId="{712274FE-35AC-468A-B535-5C98B59F8678}" destId="{BCAF0CFC-9F3B-443B-8EB4-8905863D0C33}" srcOrd="1" destOrd="0" parTransId="{660582B5-B08E-4596-9364-FA8803D4C706}" sibTransId="{5984E3A6-4746-4B72-A955-294016577562}"/>
    <dgm:cxn modelId="{F65F9F8A-98CD-4E4A-9DF6-FF5B0D6D74FE}" type="presOf" srcId="{C11F9284-E2D8-45D8-AD0E-FF0163CB6A75}" destId="{B804AA83-BA73-4D91-B260-088A29077196}" srcOrd="0" destOrd="0" presId="urn:microsoft.com/office/officeart/2005/8/layout/hierarchy1"/>
    <dgm:cxn modelId="{FA44AC8B-E201-4DE2-A71A-DD8DA035509E}" srcId="{3FEC4CE5-F505-4834-BC3D-7170B80DA91A}" destId="{ED0653AE-EF09-47E4-B6A0-A4505644FE39}" srcOrd="1" destOrd="0" parTransId="{6192C34A-53F3-43FE-B261-DFD3056177B3}" sibTransId="{F13FAED6-45E3-4B27-A916-D7C3428F7BBD}"/>
    <dgm:cxn modelId="{49EC0A9E-BF63-460C-AC00-47EF5BACCB65}" type="presOf" srcId="{2BC6660B-C26F-40F3-9FC1-267C2A7E5A1B}" destId="{35566D27-6579-4688-8F36-F7FC342C10EF}" srcOrd="0" destOrd="0" presId="urn:microsoft.com/office/officeart/2005/8/layout/hierarchy1"/>
    <dgm:cxn modelId="{8BE70CA1-AB44-4D0C-8EF8-7037B110C455}" type="presOf" srcId="{1A0478A4-DE7C-48A3-A20C-987A2F85507E}" destId="{C1510053-DDE3-48D3-B9F9-499B62F3A6CD}" srcOrd="0" destOrd="0" presId="urn:microsoft.com/office/officeart/2005/8/layout/hierarchy1"/>
    <dgm:cxn modelId="{687B84B4-FE70-42AA-9F3F-FCEF3F352EF9}" type="presOf" srcId="{A1C63A8B-8918-4E2A-B1FE-20E8E62D777B}" destId="{67FCB10C-549A-4824-970D-9E10BDD92A64}" srcOrd="0" destOrd="0" presId="urn:microsoft.com/office/officeart/2005/8/layout/hierarchy1"/>
    <dgm:cxn modelId="{A53C3FBB-D5EE-4CFE-BAAB-AD0FBFDD9D31}" type="presOf" srcId="{2ECCF99E-5A87-4B3D-8C85-15F0459474C5}" destId="{2B87006E-FFD3-4EDB-B417-8153557C5D61}" srcOrd="0" destOrd="0" presId="urn:microsoft.com/office/officeart/2005/8/layout/hierarchy1"/>
    <dgm:cxn modelId="{D86F44BD-EC66-45A4-AD23-2D46F01C0490}" srcId="{A673362B-7FB0-4E8E-B36E-39E00382F477}" destId="{1BD2CD22-DC3F-446A-8D6E-24F295B5FAEC}" srcOrd="0" destOrd="0" parTransId="{5B36F2C9-9AB0-4E6D-8B75-A06900E5CD48}" sibTransId="{7B721144-418D-4ABD-BFBA-7A70680BBD18}"/>
    <dgm:cxn modelId="{E9E63AC6-92C6-4A99-AC54-253D1839040B}" srcId="{A33C657C-9C22-4770-98FF-3119702D5EAF}" destId="{3FEC4CE5-F505-4834-BC3D-7170B80DA91A}" srcOrd="1" destOrd="0" parTransId="{0CF1CD1E-52D9-4507-A892-37B0A8522D05}" sibTransId="{123834DE-E1D0-4F47-86B3-3C496B94A222}"/>
    <dgm:cxn modelId="{435D2BD0-5BC3-4322-8DE1-4E86DE3EB121}" type="presOf" srcId="{BCAF0CFC-9F3B-443B-8EB4-8905863D0C33}" destId="{6EEE92C7-73F1-479F-9FDF-F81B714AE696}" srcOrd="0" destOrd="0" presId="urn:microsoft.com/office/officeart/2005/8/layout/hierarchy1"/>
    <dgm:cxn modelId="{3E6D1DD5-F440-43D3-8E49-8525AFF87E4B}" type="presOf" srcId="{ED0653AE-EF09-47E4-B6A0-A4505644FE39}" destId="{B58C9CC1-8F2E-45DF-9D16-557EBE7246FE}" srcOrd="0" destOrd="0" presId="urn:microsoft.com/office/officeart/2005/8/layout/hierarchy1"/>
    <dgm:cxn modelId="{2FC489D6-69D6-4A01-B97B-83EAF10EA505}" type="presOf" srcId="{A33C657C-9C22-4770-98FF-3119702D5EAF}" destId="{5DF448E7-C0E4-4C3F-8A02-6D7DF0D014AA}" srcOrd="0" destOrd="0" presId="urn:microsoft.com/office/officeart/2005/8/layout/hierarchy1"/>
    <dgm:cxn modelId="{05D7C4E2-4ED8-4A8D-B16A-CB191A3C0219}" type="presOf" srcId="{0CF1CD1E-52D9-4507-A892-37B0A8522D05}" destId="{E9F9B13C-C016-4B5B-9A53-6616494F264F}" srcOrd="0" destOrd="0" presId="urn:microsoft.com/office/officeart/2005/8/layout/hierarchy1"/>
    <dgm:cxn modelId="{0FB953E6-2838-409D-971C-C63054E75C9E}" type="presOf" srcId="{A2256612-272A-443B-9C65-A070F999B2F1}" destId="{62C125D6-C9A1-43F1-A186-C3BB08DDA2E3}" srcOrd="0" destOrd="0" presId="urn:microsoft.com/office/officeart/2005/8/layout/hierarchy1"/>
    <dgm:cxn modelId="{B2B543F6-60F2-4B04-BB68-0C10753B89AC}" srcId="{A33C657C-9C22-4770-98FF-3119702D5EAF}" destId="{3D3F876C-7860-48BF-86DA-FF3787951DAF}" srcOrd="0" destOrd="0" parTransId="{2ECCF99E-5A87-4B3D-8C85-15F0459474C5}" sibTransId="{F8A93F59-E7B1-4A03-B971-676AF5D2098B}"/>
    <dgm:cxn modelId="{23EE1DFA-DCF6-40E2-A518-D54051F11403}" type="presOf" srcId="{712274FE-35AC-468A-B535-5C98B59F8678}" destId="{CADBE411-2C03-4163-9B9E-E1D4EA0496D5}" srcOrd="0" destOrd="0" presId="urn:microsoft.com/office/officeart/2005/8/layout/hierarchy1"/>
    <dgm:cxn modelId="{0EFDD9E3-E18F-459D-9608-0F28A09F2687}" type="presParOf" srcId="{F412B7F9-B529-4AAA-B4C1-4AC07F6F8906}" destId="{69E85A62-819D-4C3C-9408-4176CE652D9A}" srcOrd="0" destOrd="0" presId="urn:microsoft.com/office/officeart/2005/8/layout/hierarchy1"/>
    <dgm:cxn modelId="{4AB41DC0-E828-4CC6-8CD8-14030802F85E}" type="presParOf" srcId="{69E85A62-819D-4C3C-9408-4176CE652D9A}" destId="{AA3A89CB-00F0-49CD-AC1D-25F575D06C75}" srcOrd="0" destOrd="0" presId="urn:microsoft.com/office/officeart/2005/8/layout/hierarchy1"/>
    <dgm:cxn modelId="{3ECDFB0F-3977-4A0C-84E7-FDD1E521C73A}" type="presParOf" srcId="{AA3A89CB-00F0-49CD-AC1D-25F575D06C75}" destId="{FC60552A-D406-4B90-B8BD-24BB9C6EA446}" srcOrd="0" destOrd="0" presId="urn:microsoft.com/office/officeart/2005/8/layout/hierarchy1"/>
    <dgm:cxn modelId="{3DFAB564-7962-4262-86B5-EC419BA79704}" type="presParOf" srcId="{AA3A89CB-00F0-49CD-AC1D-25F575D06C75}" destId="{5DF448E7-C0E4-4C3F-8A02-6D7DF0D014AA}" srcOrd="1" destOrd="0" presId="urn:microsoft.com/office/officeart/2005/8/layout/hierarchy1"/>
    <dgm:cxn modelId="{4878EDDC-FE41-4079-8F24-BC49303D865F}" type="presParOf" srcId="{69E85A62-819D-4C3C-9408-4176CE652D9A}" destId="{D492F543-75B6-4FEC-BC2A-47A3DFF30F0D}" srcOrd="1" destOrd="0" presId="urn:microsoft.com/office/officeart/2005/8/layout/hierarchy1"/>
    <dgm:cxn modelId="{90DCD083-5BEE-4472-A10B-A4859960ACB0}" type="presParOf" srcId="{D492F543-75B6-4FEC-BC2A-47A3DFF30F0D}" destId="{2B87006E-FFD3-4EDB-B417-8153557C5D61}" srcOrd="0" destOrd="0" presId="urn:microsoft.com/office/officeart/2005/8/layout/hierarchy1"/>
    <dgm:cxn modelId="{6A3C23B0-3167-4928-8310-8E3A7B51ED78}" type="presParOf" srcId="{D492F543-75B6-4FEC-BC2A-47A3DFF30F0D}" destId="{72F58B03-15E8-49DB-B635-12005927ED94}" srcOrd="1" destOrd="0" presId="urn:microsoft.com/office/officeart/2005/8/layout/hierarchy1"/>
    <dgm:cxn modelId="{8797D8EC-C43A-401D-957C-CB3E9F0D7A99}" type="presParOf" srcId="{72F58B03-15E8-49DB-B635-12005927ED94}" destId="{F0CC97F5-B504-45B8-9FC5-1A3EBA2920CE}" srcOrd="0" destOrd="0" presId="urn:microsoft.com/office/officeart/2005/8/layout/hierarchy1"/>
    <dgm:cxn modelId="{65E031A6-7BF8-4E51-A0FA-D8C1FAC0BBA6}" type="presParOf" srcId="{F0CC97F5-B504-45B8-9FC5-1A3EBA2920CE}" destId="{82EC7206-14DD-4616-A424-5DD8F9762E0B}" srcOrd="0" destOrd="0" presId="urn:microsoft.com/office/officeart/2005/8/layout/hierarchy1"/>
    <dgm:cxn modelId="{B3E484E2-5C13-4E4C-9DDE-0D2CC2BACDE1}" type="presParOf" srcId="{F0CC97F5-B504-45B8-9FC5-1A3EBA2920CE}" destId="{7C8F5BD4-8828-464E-BB93-AAB5E7B7A2B8}" srcOrd="1" destOrd="0" presId="urn:microsoft.com/office/officeart/2005/8/layout/hierarchy1"/>
    <dgm:cxn modelId="{B30F32E3-2032-42FF-BBB1-58BB1A681C68}" type="presParOf" srcId="{72F58B03-15E8-49DB-B635-12005927ED94}" destId="{0CC8C91E-8D4D-4218-B0D7-E40520D00CFB}" srcOrd="1" destOrd="0" presId="urn:microsoft.com/office/officeart/2005/8/layout/hierarchy1"/>
    <dgm:cxn modelId="{0C866157-F541-4588-9FE7-F9B0B689AC93}" type="presParOf" srcId="{0CC8C91E-8D4D-4218-B0D7-E40520D00CFB}" destId="{62C125D6-C9A1-43F1-A186-C3BB08DDA2E3}" srcOrd="0" destOrd="0" presId="urn:microsoft.com/office/officeart/2005/8/layout/hierarchy1"/>
    <dgm:cxn modelId="{E55496F1-79DE-473D-A9EA-852906104250}" type="presParOf" srcId="{0CC8C91E-8D4D-4218-B0D7-E40520D00CFB}" destId="{44E0BCA4-390A-4978-A8F6-5518FEEA8578}" srcOrd="1" destOrd="0" presId="urn:microsoft.com/office/officeart/2005/8/layout/hierarchy1"/>
    <dgm:cxn modelId="{D8B8BC5C-7A86-4133-A03A-49340617CAA4}" type="presParOf" srcId="{44E0BCA4-390A-4978-A8F6-5518FEEA8578}" destId="{F6DE4134-B173-4E6D-B9E0-DAF8445C3165}" srcOrd="0" destOrd="0" presId="urn:microsoft.com/office/officeart/2005/8/layout/hierarchy1"/>
    <dgm:cxn modelId="{38FACF75-8AE1-48D7-9674-C287E10B0A9E}" type="presParOf" srcId="{F6DE4134-B173-4E6D-B9E0-DAF8445C3165}" destId="{51D16BE5-0892-4E55-9894-433E07603C67}" srcOrd="0" destOrd="0" presId="urn:microsoft.com/office/officeart/2005/8/layout/hierarchy1"/>
    <dgm:cxn modelId="{81EA7A34-F014-43DD-8F28-7E0810CA90AB}" type="presParOf" srcId="{F6DE4134-B173-4E6D-B9E0-DAF8445C3165}" destId="{CADBE411-2C03-4163-9B9E-E1D4EA0496D5}" srcOrd="1" destOrd="0" presId="urn:microsoft.com/office/officeart/2005/8/layout/hierarchy1"/>
    <dgm:cxn modelId="{8BE54C52-173D-4368-831F-0931A6AC9139}" type="presParOf" srcId="{44E0BCA4-390A-4978-A8F6-5518FEEA8578}" destId="{795760B8-D5B5-464D-BD7E-B883A25BA7D1}" srcOrd="1" destOrd="0" presId="urn:microsoft.com/office/officeart/2005/8/layout/hierarchy1"/>
    <dgm:cxn modelId="{10402CFB-155F-4771-A5CD-87E283B9E237}" type="presParOf" srcId="{795760B8-D5B5-464D-BD7E-B883A25BA7D1}" destId="{7B410FFB-AB3A-4D86-8851-97EF3A0320C7}" srcOrd="0" destOrd="0" presId="urn:microsoft.com/office/officeart/2005/8/layout/hierarchy1"/>
    <dgm:cxn modelId="{91F4039B-3A85-4611-AEA8-95E98F2BFF08}" type="presParOf" srcId="{795760B8-D5B5-464D-BD7E-B883A25BA7D1}" destId="{4D9A4941-1845-457F-B233-C6B1C1A15401}" srcOrd="1" destOrd="0" presId="urn:microsoft.com/office/officeart/2005/8/layout/hierarchy1"/>
    <dgm:cxn modelId="{9626B2AF-B841-468C-BD2E-5C3D0800B148}" type="presParOf" srcId="{4D9A4941-1845-457F-B233-C6B1C1A15401}" destId="{7FEACBAD-69A8-40BD-8B6E-249637C90DA5}" srcOrd="0" destOrd="0" presId="urn:microsoft.com/office/officeart/2005/8/layout/hierarchy1"/>
    <dgm:cxn modelId="{210BAB00-3894-428C-8C58-CB8BBD653499}" type="presParOf" srcId="{7FEACBAD-69A8-40BD-8B6E-249637C90DA5}" destId="{279E7531-C41E-4526-9798-34F0531EF59F}" srcOrd="0" destOrd="0" presId="urn:microsoft.com/office/officeart/2005/8/layout/hierarchy1"/>
    <dgm:cxn modelId="{ED986093-7479-471B-B831-49159373BB00}" type="presParOf" srcId="{7FEACBAD-69A8-40BD-8B6E-249637C90DA5}" destId="{72743D32-D933-48D6-88A4-24E1CB088E33}" srcOrd="1" destOrd="0" presId="urn:microsoft.com/office/officeart/2005/8/layout/hierarchy1"/>
    <dgm:cxn modelId="{4978934C-4CB2-45E9-89C8-C7516B1B972C}" type="presParOf" srcId="{4D9A4941-1845-457F-B233-C6B1C1A15401}" destId="{351EC108-C104-4D48-9F42-9114B54C2DBC}" srcOrd="1" destOrd="0" presId="urn:microsoft.com/office/officeart/2005/8/layout/hierarchy1"/>
    <dgm:cxn modelId="{B9893D8E-75D9-45C0-BBC8-980E56CCC722}" type="presParOf" srcId="{351EC108-C104-4D48-9F42-9114B54C2DBC}" destId="{35566D27-6579-4688-8F36-F7FC342C10EF}" srcOrd="0" destOrd="0" presId="urn:microsoft.com/office/officeart/2005/8/layout/hierarchy1"/>
    <dgm:cxn modelId="{9483DE28-FE06-4E4A-8008-1CA3C3222A6E}" type="presParOf" srcId="{351EC108-C104-4D48-9F42-9114B54C2DBC}" destId="{D8730304-9BA5-4BC2-BD94-BA7633140659}" srcOrd="1" destOrd="0" presId="urn:microsoft.com/office/officeart/2005/8/layout/hierarchy1"/>
    <dgm:cxn modelId="{D15A90E8-77A1-48E5-AFBE-C7DD5F039937}" type="presParOf" srcId="{D8730304-9BA5-4BC2-BD94-BA7633140659}" destId="{FF6C3C88-28B6-4274-9C5A-E24952FED47C}" srcOrd="0" destOrd="0" presId="urn:microsoft.com/office/officeart/2005/8/layout/hierarchy1"/>
    <dgm:cxn modelId="{D85BE4CC-F5D7-441A-B062-27D1070B1C80}" type="presParOf" srcId="{FF6C3C88-28B6-4274-9C5A-E24952FED47C}" destId="{E1980952-B135-4CBC-BF78-F8340D0919AA}" srcOrd="0" destOrd="0" presId="urn:microsoft.com/office/officeart/2005/8/layout/hierarchy1"/>
    <dgm:cxn modelId="{C9546272-DCBB-40D1-B3BE-740BB31CEFE4}" type="presParOf" srcId="{FF6C3C88-28B6-4274-9C5A-E24952FED47C}" destId="{67FCB10C-549A-4824-970D-9E10BDD92A64}" srcOrd="1" destOrd="0" presId="urn:microsoft.com/office/officeart/2005/8/layout/hierarchy1"/>
    <dgm:cxn modelId="{CAC68587-FC0C-4806-A976-C7BA94F137F8}" type="presParOf" srcId="{D8730304-9BA5-4BC2-BD94-BA7633140659}" destId="{FD2B9622-C00D-4E34-9647-2E86C22EF358}" srcOrd="1" destOrd="0" presId="urn:microsoft.com/office/officeart/2005/8/layout/hierarchy1"/>
    <dgm:cxn modelId="{6420138C-9C8E-43E3-8BC0-747B3425DC09}" type="presParOf" srcId="{795760B8-D5B5-464D-BD7E-B883A25BA7D1}" destId="{80203858-4CEB-4896-91FE-22BD4BEAE412}" srcOrd="2" destOrd="0" presId="urn:microsoft.com/office/officeart/2005/8/layout/hierarchy1"/>
    <dgm:cxn modelId="{3D8F8FA7-DE6C-4678-8DB6-64EFAFED7BD3}" type="presParOf" srcId="{795760B8-D5B5-464D-BD7E-B883A25BA7D1}" destId="{79638C62-CE94-495C-A67D-D3D77A67663D}" srcOrd="3" destOrd="0" presId="urn:microsoft.com/office/officeart/2005/8/layout/hierarchy1"/>
    <dgm:cxn modelId="{7AFFD74B-C3A8-4C62-B33A-4CACBEEF8D4C}" type="presParOf" srcId="{79638C62-CE94-495C-A67D-D3D77A67663D}" destId="{D3396F9A-A4EC-494D-8C3E-D0BBAAFCE7D1}" srcOrd="0" destOrd="0" presId="urn:microsoft.com/office/officeart/2005/8/layout/hierarchy1"/>
    <dgm:cxn modelId="{007CB08D-6892-423F-A047-519C39D66E2E}" type="presParOf" srcId="{D3396F9A-A4EC-494D-8C3E-D0BBAAFCE7D1}" destId="{01493F08-49BD-4785-B40B-92200F16641A}" srcOrd="0" destOrd="0" presId="urn:microsoft.com/office/officeart/2005/8/layout/hierarchy1"/>
    <dgm:cxn modelId="{FED7E2F2-55C7-41F4-B973-2CD5FCAA90BF}" type="presParOf" srcId="{D3396F9A-A4EC-494D-8C3E-D0BBAAFCE7D1}" destId="{6EEE92C7-73F1-479F-9FDF-F81B714AE696}" srcOrd="1" destOrd="0" presId="urn:microsoft.com/office/officeart/2005/8/layout/hierarchy1"/>
    <dgm:cxn modelId="{F1FDA1D8-72C7-4FBC-9891-85FAD60B695D}" type="presParOf" srcId="{79638C62-CE94-495C-A67D-D3D77A67663D}" destId="{82B96D8E-19C2-4370-AA69-080302ED6D34}" srcOrd="1" destOrd="0" presId="urn:microsoft.com/office/officeart/2005/8/layout/hierarchy1"/>
    <dgm:cxn modelId="{01E1F321-384E-40B0-B0F7-7B3EDA2E6F8C}" type="presParOf" srcId="{0CC8C91E-8D4D-4218-B0D7-E40520D00CFB}" destId="{CC5C9B4E-6535-41F9-9339-80DDFF870222}" srcOrd="2" destOrd="0" presId="urn:microsoft.com/office/officeart/2005/8/layout/hierarchy1"/>
    <dgm:cxn modelId="{BAF8C4A7-57F5-411B-9638-8812727BB593}" type="presParOf" srcId="{0CC8C91E-8D4D-4218-B0D7-E40520D00CFB}" destId="{4D8AF3DD-45D5-4C5E-B2B7-C0172ED37AD1}" srcOrd="3" destOrd="0" presId="urn:microsoft.com/office/officeart/2005/8/layout/hierarchy1"/>
    <dgm:cxn modelId="{77C090E3-41CA-4B17-9ECB-F7AC9DD48AFD}" type="presParOf" srcId="{4D8AF3DD-45D5-4C5E-B2B7-C0172ED37AD1}" destId="{56ED980C-FFA6-4626-AA79-708F9A33C6B5}" srcOrd="0" destOrd="0" presId="urn:microsoft.com/office/officeart/2005/8/layout/hierarchy1"/>
    <dgm:cxn modelId="{F505E39B-CA8C-414A-BE3B-F8BF48A42066}" type="presParOf" srcId="{56ED980C-FFA6-4626-AA79-708F9A33C6B5}" destId="{89D4F7A3-57F8-42FA-9449-7D7CE01E2766}" srcOrd="0" destOrd="0" presId="urn:microsoft.com/office/officeart/2005/8/layout/hierarchy1"/>
    <dgm:cxn modelId="{3E34FFAF-4008-4C11-BE5A-9C187F9490B7}" type="presParOf" srcId="{56ED980C-FFA6-4626-AA79-708F9A33C6B5}" destId="{1AD8FC48-B9AC-48EE-9FFD-45B3D8FE94C1}" srcOrd="1" destOrd="0" presId="urn:microsoft.com/office/officeart/2005/8/layout/hierarchy1"/>
    <dgm:cxn modelId="{AC6977F4-6D38-4823-8715-8A5A575EFD5E}" type="presParOf" srcId="{4D8AF3DD-45D5-4C5E-B2B7-C0172ED37AD1}" destId="{E8C822F5-D899-4ED4-9E07-1AEDE5E41AE7}" srcOrd="1" destOrd="0" presId="urn:microsoft.com/office/officeart/2005/8/layout/hierarchy1"/>
    <dgm:cxn modelId="{ACCA89B6-B4FE-470E-9878-BEF86E8396BB}" type="presParOf" srcId="{D492F543-75B6-4FEC-BC2A-47A3DFF30F0D}" destId="{E9F9B13C-C016-4B5B-9A53-6616494F264F}" srcOrd="2" destOrd="0" presId="urn:microsoft.com/office/officeart/2005/8/layout/hierarchy1"/>
    <dgm:cxn modelId="{1CD91922-6772-4ABB-B322-822E8522AE5C}" type="presParOf" srcId="{D492F543-75B6-4FEC-BC2A-47A3DFF30F0D}" destId="{80F0FD15-E463-43FA-B2C7-2CC0BE3477A8}" srcOrd="3" destOrd="0" presId="urn:microsoft.com/office/officeart/2005/8/layout/hierarchy1"/>
    <dgm:cxn modelId="{65FFC372-FDE5-4981-A0FD-797472B1A856}" type="presParOf" srcId="{80F0FD15-E463-43FA-B2C7-2CC0BE3477A8}" destId="{15DF473F-381D-4C1D-97B9-0E1E01A30B63}" srcOrd="0" destOrd="0" presId="urn:microsoft.com/office/officeart/2005/8/layout/hierarchy1"/>
    <dgm:cxn modelId="{108434CF-3377-4C27-93F2-D9C2268D7709}" type="presParOf" srcId="{15DF473F-381D-4C1D-97B9-0E1E01A30B63}" destId="{9B4EA36C-614A-4020-B2C0-07E688548FE4}" srcOrd="0" destOrd="0" presId="urn:microsoft.com/office/officeart/2005/8/layout/hierarchy1"/>
    <dgm:cxn modelId="{B8F98D55-D038-430C-A0E9-DF687145F1B3}" type="presParOf" srcId="{15DF473F-381D-4C1D-97B9-0E1E01A30B63}" destId="{EBB08151-95DE-4748-833E-331B5BD2D91A}" srcOrd="1" destOrd="0" presId="urn:microsoft.com/office/officeart/2005/8/layout/hierarchy1"/>
    <dgm:cxn modelId="{6B15B993-FE44-4933-8E49-30E560C0A849}" type="presParOf" srcId="{80F0FD15-E463-43FA-B2C7-2CC0BE3477A8}" destId="{9B0A9D5B-6CF6-4FEF-84FE-3F9F30FFA234}" srcOrd="1" destOrd="0" presId="urn:microsoft.com/office/officeart/2005/8/layout/hierarchy1"/>
    <dgm:cxn modelId="{2690A1F4-7121-4309-9266-1E43405B60AB}" type="presParOf" srcId="{9B0A9D5B-6CF6-4FEF-84FE-3F9F30FFA234}" destId="{18D8BFD3-8855-4373-AFCE-129CD05D448D}" srcOrd="0" destOrd="0" presId="urn:microsoft.com/office/officeart/2005/8/layout/hierarchy1"/>
    <dgm:cxn modelId="{909749E6-5D6C-4829-BE8C-39DB1D0F118D}" type="presParOf" srcId="{9B0A9D5B-6CF6-4FEF-84FE-3F9F30FFA234}" destId="{40CA081C-2884-4356-BDBA-4AE3583A0619}" srcOrd="1" destOrd="0" presId="urn:microsoft.com/office/officeart/2005/8/layout/hierarchy1"/>
    <dgm:cxn modelId="{B994B611-CA53-433F-B0C3-4F4F18A4D143}" type="presParOf" srcId="{40CA081C-2884-4356-BDBA-4AE3583A0619}" destId="{17A69FDB-D707-40D0-9310-21C801B17692}" srcOrd="0" destOrd="0" presId="urn:microsoft.com/office/officeart/2005/8/layout/hierarchy1"/>
    <dgm:cxn modelId="{660BA90E-7CDF-4AC4-B8FA-A583F0D46EA9}" type="presParOf" srcId="{17A69FDB-D707-40D0-9310-21C801B17692}" destId="{F0A156A8-52F8-4B56-A9FD-52589E3B94EF}" srcOrd="0" destOrd="0" presId="urn:microsoft.com/office/officeart/2005/8/layout/hierarchy1"/>
    <dgm:cxn modelId="{85A00F85-41FD-4C3A-A07C-4DED37637505}" type="presParOf" srcId="{17A69FDB-D707-40D0-9310-21C801B17692}" destId="{B804AA83-BA73-4D91-B260-088A29077196}" srcOrd="1" destOrd="0" presId="urn:microsoft.com/office/officeart/2005/8/layout/hierarchy1"/>
    <dgm:cxn modelId="{3D64479B-4A6A-4DDD-83BA-5B0530B57AD7}" type="presParOf" srcId="{40CA081C-2884-4356-BDBA-4AE3583A0619}" destId="{FD0C8A86-2912-40B8-BF9B-FE66AD70490B}" srcOrd="1" destOrd="0" presId="urn:microsoft.com/office/officeart/2005/8/layout/hierarchy1"/>
    <dgm:cxn modelId="{DD25EF5B-9083-427A-B13F-A5DB975D2139}" type="presParOf" srcId="{FD0C8A86-2912-40B8-BF9B-FE66AD70490B}" destId="{C1510053-DDE3-48D3-B9F9-499B62F3A6CD}" srcOrd="0" destOrd="0" presId="urn:microsoft.com/office/officeart/2005/8/layout/hierarchy1"/>
    <dgm:cxn modelId="{821F2228-79D7-4A29-B13D-61351748F77E}" type="presParOf" srcId="{FD0C8A86-2912-40B8-BF9B-FE66AD70490B}" destId="{4EB6F946-393F-4A9C-BA4A-321F78E32368}" srcOrd="1" destOrd="0" presId="urn:microsoft.com/office/officeart/2005/8/layout/hierarchy1"/>
    <dgm:cxn modelId="{498BA877-3EF7-4736-9076-90D638D113D4}" type="presParOf" srcId="{4EB6F946-393F-4A9C-BA4A-321F78E32368}" destId="{5F62102C-FD9A-4B5F-9282-1E1FC8131221}" srcOrd="0" destOrd="0" presId="urn:microsoft.com/office/officeart/2005/8/layout/hierarchy1"/>
    <dgm:cxn modelId="{1613B894-DA55-4475-BC1C-7F2E34E08F93}" type="presParOf" srcId="{5F62102C-FD9A-4B5F-9282-1E1FC8131221}" destId="{98E57FF8-E14A-4F0A-AA1B-7E2915DD90BC}" srcOrd="0" destOrd="0" presId="urn:microsoft.com/office/officeart/2005/8/layout/hierarchy1"/>
    <dgm:cxn modelId="{737CBCFA-6349-4117-B70E-D83E49DAC27E}" type="presParOf" srcId="{5F62102C-FD9A-4B5F-9282-1E1FC8131221}" destId="{44D6D7BF-8716-4721-9494-F84550088F7A}" srcOrd="1" destOrd="0" presId="urn:microsoft.com/office/officeart/2005/8/layout/hierarchy1"/>
    <dgm:cxn modelId="{78447E3A-E194-4730-8217-7B50C67E3E24}" type="presParOf" srcId="{4EB6F946-393F-4A9C-BA4A-321F78E32368}" destId="{31E39172-1FD8-48E8-B3B9-C7CE63EE0118}" srcOrd="1" destOrd="0" presId="urn:microsoft.com/office/officeart/2005/8/layout/hierarchy1"/>
    <dgm:cxn modelId="{7547435C-6FC5-4A13-844F-E6D5F12D32C1}" type="presParOf" srcId="{31E39172-1FD8-48E8-B3B9-C7CE63EE0118}" destId="{53E997E1-777C-48B2-A392-D1259ED3A8BE}" srcOrd="0" destOrd="0" presId="urn:microsoft.com/office/officeart/2005/8/layout/hierarchy1"/>
    <dgm:cxn modelId="{49267696-3F12-43A9-911C-D02BD30DA357}" type="presParOf" srcId="{31E39172-1FD8-48E8-B3B9-C7CE63EE0118}" destId="{D27B96BA-2F71-40B6-9360-B2049D78156E}" srcOrd="1" destOrd="0" presId="urn:microsoft.com/office/officeart/2005/8/layout/hierarchy1"/>
    <dgm:cxn modelId="{1AC42C2F-D0B1-45C8-97C8-D1F6F83FC015}" type="presParOf" srcId="{D27B96BA-2F71-40B6-9360-B2049D78156E}" destId="{00F4B24C-0193-4326-925F-32824F07C153}" srcOrd="0" destOrd="0" presId="urn:microsoft.com/office/officeart/2005/8/layout/hierarchy1"/>
    <dgm:cxn modelId="{BADF21B7-6BFB-4619-A88D-825F87E4B70C}" type="presParOf" srcId="{00F4B24C-0193-4326-925F-32824F07C153}" destId="{6BA44E60-BC28-4EAD-B2E3-F0647199839C}" srcOrd="0" destOrd="0" presId="urn:microsoft.com/office/officeart/2005/8/layout/hierarchy1"/>
    <dgm:cxn modelId="{9C60657F-1435-49F4-B295-8996AD7AB995}" type="presParOf" srcId="{00F4B24C-0193-4326-925F-32824F07C153}" destId="{E9EF51FB-BCDA-41E2-B20C-6997B929F8CD}" srcOrd="1" destOrd="0" presId="urn:microsoft.com/office/officeart/2005/8/layout/hierarchy1"/>
    <dgm:cxn modelId="{9875480E-CFB2-4C7B-B553-634DFC5FC30F}" type="presParOf" srcId="{D27B96BA-2F71-40B6-9360-B2049D78156E}" destId="{16CCB2FA-31D3-4204-96DE-DA72F561B96D}" srcOrd="1" destOrd="0" presId="urn:microsoft.com/office/officeart/2005/8/layout/hierarchy1"/>
    <dgm:cxn modelId="{D09E5FB9-D49A-40D1-A5C1-2EBDBDFE132B}" type="presParOf" srcId="{FD0C8A86-2912-40B8-BF9B-FE66AD70490B}" destId="{DB4717BC-591A-48CC-84DF-4CC864AE6E2E}" srcOrd="2" destOrd="0" presId="urn:microsoft.com/office/officeart/2005/8/layout/hierarchy1"/>
    <dgm:cxn modelId="{1FF1DC48-E39B-492B-9180-5F5E7641C97D}" type="presParOf" srcId="{FD0C8A86-2912-40B8-BF9B-FE66AD70490B}" destId="{E28CAFA2-EE45-4511-A7F1-9558B70EE83D}" srcOrd="3" destOrd="0" presId="urn:microsoft.com/office/officeart/2005/8/layout/hierarchy1"/>
    <dgm:cxn modelId="{24CA3814-8741-4562-847B-FD3C71603624}" type="presParOf" srcId="{E28CAFA2-EE45-4511-A7F1-9558B70EE83D}" destId="{2EBDEDF1-AE2B-4F34-8CCB-73F4AEC1D12C}" srcOrd="0" destOrd="0" presId="urn:microsoft.com/office/officeart/2005/8/layout/hierarchy1"/>
    <dgm:cxn modelId="{B2F9A362-06AE-4FCC-89AA-EB09B9D05C34}" type="presParOf" srcId="{2EBDEDF1-AE2B-4F34-8CCB-73F4AEC1D12C}" destId="{02642FDA-8A81-4932-80EC-2C64A2181E7A}" srcOrd="0" destOrd="0" presId="urn:microsoft.com/office/officeart/2005/8/layout/hierarchy1"/>
    <dgm:cxn modelId="{782821AD-E556-41C7-8697-0309383E5F14}" type="presParOf" srcId="{2EBDEDF1-AE2B-4F34-8CCB-73F4AEC1D12C}" destId="{57B37283-6F3E-442F-A9E7-97845C32F977}" srcOrd="1" destOrd="0" presId="urn:microsoft.com/office/officeart/2005/8/layout/hierarchy1"/>
    <dgm:cxn modelId="{ACE14F2C-A5DB-4E2C-B184-90CACA88BFC4}" type="presParOf" srcId="{E28CAFA2-EE45-4511-A7F1-9558B70EE83D}" destId="{AF580DF4-26F0-4C5D-B2C7-342869904923}" srcOrd="1" destOrd="0" presId="urn:microsoft.com/office/officeart/2005/8/layout/hierarchy1"/>
    <dgm:cxn modelId="{3479144D-9DB5-44C5-A839-59FC1D0B5943}" type="presParOf" srcId="{9B0A9D5B-6CF6-4FEF-84FE-3F9F30FFA234}" destId="{2FA8D4DC-581E-497E-B5E7-7EC0AF961CFC}" srcOrd="2" destOrd="0" presId="urn:microsoft.com/office/officeart/2005/8/layout/hierarchy1"/>
    <dgm:cxn modelId="{47138A92-BB80-4262-9B44-A40545863948}" type="presParOf" srcId="{9B0A9D5B-6CF6-4FEF-84FE-3F9F30FFA234}" destId="{3C524257-ACC2-4C69-AF62-0E73FA2348CC}" srcOrd="3" destOrd="0" presId="urn:microsoft.com/office/officeart/2005/8/layout/hierarchy1"/>
    <dgm:cxn modelId="{B35436E7-7027-4065-8E71-1599A82CEA5F}" type="presParOf" srcId="{3C524257-ACC2-4C69-AF62-0E73FA2348CC}" destId="{666D82EC-E33F-4604-A5C1-FC04C3785800}" srcOrd="0" destOrd="0" presId="urn:microsoft.com/office/officeart/2005/8/layout/hierarchy1"/>
    <dgm:cxn modelId="{AD75D601-B94A-4FC6-B8BB-A54BADBD767F}" type="presParOf" srcId="{666D82EC-E33F-4604-A5C1-FC04C3785800}" destId="{29A4D8AA-2621-44C7-A82A-7A302D87CA24}" srcOrd="0" destOrd="0" presId="urn:microsoft.com/office/officeart/2005/8/layout/hierarchy1"/>
    <dgm:cxn modelId="{F20BCD47-21B6-4F29-B441-D6E7416F1FFA}" type="presParOf" srcId="{666D82EC-E33F-4604-A5C1-FC04C3785800}" destId="{B58C9CC1-8F2E-45DF-9D16-557EBE7246FE}" srcOrd="1" destOrd="0" presId="urn:microsoft.com/office/officeart/2005/8/layout/hierarchy1"/>
    <dgm:cxn modelId="{E77689FE-F3D7-450A-89D3-300CA402677F}" type="presParOf" srcId="{3C524257-ACC2-4C69-AF62-0E73FA2348CC}" destId="{C14E3AE2-E66D-4621-86FD-6DF0FFE11207}" srcOrd="1" destOrd="0" presId="urn:microsoft.com/office/officeart/2005/8/layout/hierarchy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FA8D4DC-581E-497E-B5E7-7EC0AF961CFC}">
      <dsp:nvSpPr>
        <dsp:cNvPr id="0" name=""/>
        <dsp:cNvSpPr/>
      </dsp:nvSpPr>
      <dsp:spPr>
        <a:xfrm>
          <a:off x="4717557" y="1439299"/>
          <a:ext cx="562549" cy="26772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2444"/>
              </a:lnTo>
              <a:lnTo>
                <a:pt x="562549" y="182444"/>
              </a:lnTo>
              <a:lnTo>
                <a:pt x="562549" y="26772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B4717BC-591A-48CC-84DF-4CC864AE6E2E}">
      <dsp:nvSpPr>
        <dsp:cNvPr id="0" name=""/>
        <dsp:cNvSpPr/>
      </dsp:nvSpPr>
      <dsp:spPr>
        <a:xfrm>
          <a:off x="4155007" y="2291561"/>
          <a:ext cx="562549" cy="26772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2444"/>
              </a:lnTo>
              <a:lnTo>
                <a:pt x="562549" y="182444"/>
              </a:lnTo>
              <a:lnTo>
                <a:pt x="562549" y="26772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3E997E1-777C-48B2-A392-D1259ED3A8BE}">
      <dsp:nvSpPr>
        <dsp:cNvPr id="0" name=""/>
        <dsp:cNvSpPr/>
      </dsp:nvSpPr>
      <dsp:spPr>
        <a:xfrm>
          <a:off x="3546738" y="3143823"/>
          <a:ext cx="91440" cy="267722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6772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1510053-DDE3-48D3-B9F9-499B62F3A6CD}">
      <dsp:nvSpPr>
        <dsp:cNvPr id="0" name=""/>
        <dsp:cNvSpPr/>
      </dsp:nvSpPr>
      <dsp:spPr>
        <a:xfrm>
          <a:off x="3592458" y="2291561"/>
          <a:ext cx="562549" cy="267722"/>
        </a:xfrm>
        <a:custGeom>
          <a:avLst/>
          <a:gdLst/>
          <a:ahLst/>
          <a:cxnLst/>
          <a:rect l="0" t="0" r="0" b="0"/>
          <a:pathLst>
            <a:path>
              <a:moveTo>
                <a:pt x="562549" y="0"/>
              </a:moveTo>
              <a:lnTo>
                <a:pt x="562549" y="182444"/>
              </a:lnTo>
              <a:lnTo>
                <a:pt x="0" y="182444"/>
              </a:lnTo>
              <a:lnTo>
                <a:pt x="0" y="26772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8D8BFD3-8855-4373-AFCE-129CD05D448D}">
      <dsp:nvSpPr>
        <dsp:cNvPr id="0" name=""/>
        <dsp:cNvSpPr/>
      </dsp:nvSpPr>
      <dsp:spPr>
        <a:xfrm>
          <a:off x="4155007" y="1439299"/>
          <a:ext cx="562549" cy="267722"/>
        </a:xfrm>
        <a:custGeom>
          <a:avLst/>
          <a:gdLst/>
          <a:ahLst/>
          <a:cxnLst/>
          <a:rect l="0" t="0" r="0" b="0"/>
          <a:pathLst>
            <a:path>
              <a:moveTo>
                <a:pt x="562549" y="0"/>
              </a:moveTo>
              <a:lnTo>
                <a:pt x="562549" y="182444"/>
              </a:lnTo>
              <a:lnTo>
                <a:pt x="0" y="182444"/>
              </a:lnTo>
              <a:lnTo>
                <a:pt x="0" y="26772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9F9B13C-C016-4B5B-9A53-6616494F264F}">
      <dsp:nvSpPr>
        <dsp:cNvPr id="0" name=""/>
        <dsp:cNvSpPr/>
      </dsp:nvSpPr>
      <dsp:spPr>
        <a:xfrm>
          <a:off x="3592458" y="587037"/>
          <a:ext cx="1125098" cy="26772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2444"/>
              </a:lnTo>
              <a:lnTo>
                <a:pt x="1125098" y="182444"/>
              </a:lnTo>
              <a:lnTo>
                <a:pt x="1125098" y="267722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C5C9B4E-6535-41F9-9339-80DDFF870222}">
      <dsp:nvSpPr>
        <dsp:cNvPr id="0" name=""/>
        <dsp:cNvSpPr/>
      </dsp:nvSpPr>
      <dsp:spPr>
        <a:xfrm>
          <a:off x="2467360" y="1439299"/>
          <a:ext cx="562549" cy="26772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2444"/>
              </a:lnTo>
              <a:lnTo>
                <a:pt x="562549" y="182444"/>
              </a:lnTo>
              <a:lnTo>
                <a:pt x="562549" y="26772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0203858-4CEB-4896-91FE-22BD4BEAE412}">
      <dsp:nvSpPr>
        <dsp:cNvPr id="0" name=""/>
        <dsp:cNvSpPr/>
      </dsp:nvSpPr>
      <dsp:spPr>
        <a:xfrm>
          <a:off x="1904811" y="2291561"/>
          <a:ext cx="562549" cy="26772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2444"/>
              </a:lnTo>
              <a:lnTo>
                <a:pt x="562549" y="182444"/>
              </a:lnTo>
              <a:lnTo>
                <a:pt x="562549" y="26772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5566D27-6579-4688-8F36-F7FC342C10EF}">
      <dsp:nvSpPr>
        <dsp:cNvPr id="0" name=""/>
        <dsp:cNvSpPr/>
      </dsp:nvSpPr>
      <dsp:spPr>
        <a:xfrm>
          <a:off x="1296542" y="3143823"/>
          <a:ext cx="91440" cy="267722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6772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B410FFB-AB3A-4D86-8851-97EF3A0320C7}">
      <dsp:nvSpPr>
        <dsp:cNvPr id="0" name=""/>
        <dsp:cNvSpPr/>
      </dsp:nvSpPr>
      <dsp:spPr>
        <a:xfrm>
          <a:off x="1342262" y="2291561"/>
          <a:ext cx="562549" cy="267722"/>
        </a:xfrm>
        <a:custGeom>
          <a:avLst/>
          <a:gdLst/>
          <a:ahLst/>
          <a:cxnLst/>
          <a:rect l="0" t="0" r="0" b="0"/>
          <a:pathLst>
            <a:path>
              <a:moveTo>
                <a:pt x="562549" y="0"/>
              </a:moveTo>
              <a:lnTo>
                <a:pt x="562549" y="182444"/>
              </a:lnTo>
              <a:lnTo>
                <a:pt x="0" y="182444"/>
              </a:lnTo>
              <a:lnTo>
                <a:pt x="0" y="26772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2C125D6-C9A1-43F1-A186-C3BB08DDA2E3}">
      <dsp:nvSpPr>
        <dsp:cNvPr id="0" name=""/>
        <dsp:cNvSpPr/>
      </dsp:nvSpPr>
      <dsp:spPr>
        <a:xfrm>
          <a:off x="1904811" y="1439299"/>
          <a:ext cx="562549" cy="267722"/>
        </a:xfrm>
        <a:custGeom>
          <a:avLst/>
          <a:gdLst/>
          <a:ahLst/>
          <a:cxnLst/>
          <a:rect l="0" t="0" r="0" b="0"/>
          <a:pathLst>
            <a:path>
              <a:moveTo>
                <a:pt x="562549" y="0"/>
              </a:moveTo>
              <a:lnTo>
                <a:pt x="562549" y="182444"/>
              </a:lnTo>
              <a:lnTo>
                <a:pt x="0" y="182444"/>
              </a:lnTo>
              <a:lnTo>
                <a:pt x="0" y="26772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B87006E-FFD3-4EDB-B417-8153557C5D61}">
      <dsp:nvSpPr>
        <dsp:cNvPr id="0" name=""/>
        <dsp:cNvSpPr/>
      </dsp:nvSpPr>
      <dsp:spPr>
        <a:xfrm>
          <a:off x="2467360" y="587037"/>
          <a:ext cx="1125098" cy="267722"/>
        </a:xfrm>
        <a:custGeom>
          <a:avLst/>
          <a:gdLst/>
          <a:ahLst/>
          <a:cxnLst/>
          <a:rect l="0" t="0" r="0" b="0"/>
          <a:pathLst>
            <a:path>
              <a:moveTo>
                <a:pt x="1125098" y="0"/>
              </a:moveTo>
              <a:lnTo>
                <a:pt x="1125098" y="182444"/>
              </a:lnTo>
              <a:lnTo>
                <a:pt x="0" y="182444"/>
              </a:lnTo>
              <a:lnTo>
                <a:pt x="0" y="267722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C60552A-D406-4B90-B8BD-24BB9C6EA446}">
      <dsp:nvSpPr>
        <dsp:cNvPr id="0" name=""/>
        <dsp:cNvSpPr/>
      </dsp:nvSpPr>
      <dsp:spPr>
        <a:xfrm>
          <a:off x="3132191" y="2497"/>
          <a:ext cx="920534" cy="58453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5DF448E7-C0E4-4C3F-8A02-6D7DF0D014AA}">
      <dsp:nvSpPr>
        <dsp:cNvPr id="0" name=""/>
        <dsp:cNvSpPr/>
      </dsp:nvSpPr>
      <dsp:spPr>
        <a:xfrm>
          <a:off x="3234472" y="99665"/>
          <a:ext cx="920534" cy="58453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900" kern="1200"/>
            <a:t>Nb de flyers distribués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900" kern="1200"/>
            <a:t>1500</a:t>
          </a:r>
        </a:p>
      </dsp:txBody>
      <dsp:txXfrm>
        <a:off x="3251593" y="116786"/>
        <a:ext cx="886292" cy="550297"/>
      </dsp:txXfrm>
    </dsp:sp>
    <dsp:sp modelId="{82EC7206-14DD-4616-A424-5DD8F9762E0B}">
      <dsp:nvSpPr>
        <dsp:cNvPr id="0" name=""/>
        <dsp:cNvSpPr/>
      </dsp:nvSpPr>
      <dsp:spPr>
        <a:xfrm>
          <a:off x="2007092" y="854759"/>
          <a:ext cx="920534" cy="58453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7C8F5BD4-8828-464E-BB93-AAB5E7B7A2B8}">
      <dsp:nvSpPr>
        <dsp:cNvPr id="0" name=""/>
        <dsp:cNvSpPr/>
      </dsp:nvSpPr>
      <dsp:spPr>
        <a:xfrm>
          <a:off x="2109374" y="951926"/>
          <a:ext cx="920534" cy="58453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900" kern="1200"/>
            <a:t>Mode A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900" kern="1200"/>
            <a:t>250 soit 17%</a:t>
          </a:r>
        </a:p>
      </dsp:txBody>
      <dsp:txXfrm>
        <a:off x="2126495" y="969047"/>
        <a:ext cx="886292" cy="550297"/>
      </dsp:txXfrm>
    </dsp:sp>
    <dsp:sp modelId="{51D16BE5-0892-4E55-9894-433E07603C67}">
      <dsp:nvSpPr>
        <dsp:cNvPr id="0" name=""/>
        <dsp:cNvSpPr/>
      </dsp:nvSpPr>
      <dsp:spPr>
        <a:xfrm>
          <a:off x="1444543" y="1707021"/>
          <a:ext cx="920534" cy="58453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ADBE411-2C03-4163-9B9E-E1D4EA0496D5}">
      <dsp:nvSpPr>
        <dsp:cNvPr id="0" name=""/>
        <dsp:cNvSpPr/>
      </dsp:nvSpPr>
      <dsp:spPr>
        <a:xfrm>
          <a:off x="1546825" y="1804188"/>
          <a:ext cx="920534" cy="58453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900" kern="1200"/>
            <a:t>57 clients venus en agence soit 23%</a:t>
          </a:r>
        </a:p>
      </dsp:txBody>
      <dsp:txXfrm>
        <a:off x="1563946" y="1821309"/>
        <a:ext cx="886292" cy="550297"/>
      </dsp:txXfrm>
    </dsp:sp>
    <dsp:sp modelId="{279E7531-C41E-4526-9798-34F0531EF59F}">
      <dsp:nvSpPr>
        <dsp:cNvPr id="0" name=""/>
        <dsp:cNvSpPr/>
      </dsp:nvSpPr>
      <dsp:spPr>
        <a:xfrm>
          <a:off x="881994" y="2559283"/>
          <a:ext cx="920534" cy="58453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72743D32-D933-48D6-88A4-24E1CB088E33}">
      <dsp:nvSpPr>
        <dsp:cNvPr id="0" name=""/>
        <dsp:cNvSpPr/>
      </dsp:nvSpPr>
      <dsp:spPr>
        <a:xfrm>
          <a:off x="984276" y="2656450"/>
          <a:ext cx="920534" cy="58453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900" kern="1200"/>
            <a:t>35 devis réalisés soit 61%</a:t>
          </a:r>
        </a:p>
      </dsp:txBody>
      <dsp:txXfrm>
        <a:off x="1001397" y="2673571"/>
        <a:ext cx="886292" cy="550297"/>
      </dsp:txXfrm>
    </dsp:sp>
    <dsp:sp modelId="{E1980952-B135-4CBC-BF78-F8340D0919AA}">
      <dsp:nvSpPr>
        <dsp:cNvPr id="0" name=""/>
        <dsp:cNvSpPr/>
      </dsp:nvSpPr>
      <dsp:spPr>
        <a:xfrm>
          <a:off x="881994" y="3411545"/>
          <a:ext cx="920534" cy="58453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67FCB10C-549A-4824-970D-9E10BDD92A64}">
      <dsp:nvSpPr>
        <dsp:cNvPr id="0" name=""/>
        <dsp:cNvSpPr/>
      </dsp:nvSpPr>
      <dsp:spPr>
        <a:xfrm>
          <a:off x="984276" y="3508712"/>
          <a:ext cx="920534" cy="58453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900" kern="1200"/>
            <a:t>30 devis signés</a:t>
          </a:r>
        </a:p>
      </dsp:txBody>
      <dsp:txXfrm>
        <a:off x="1001397" y="3525833"/>
        <a:ext cx="886292" cy="550297"/>
      </dsp:txXfrm>
    </dsp:sp>
    <dsp:sp modelId="{01493F08-49BD-4785-B40B-92200F16641A}">
      <dsp:nvSpPr>
        <dsp:cNvPr id="0" name=""/>
        <dsp:cNvSpPr/>
      </dsp:nvSpPr>
      <dsp:spPr>
        <a:xfrm>
          <a:off x="2007092" y="2559283"/>
          <a:ext cx="920534" cy="58453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6EEE92C7-73F1-479F-9FDF-F81B714AE696}">
      <dsp:nvSpPr>
        <dsp:cNvPr id="0" name=""/>
        <dsp:cNvSpPr/>
      </dsp:nvSpPr>
      <dsp:spPr>
        <a:xfrm>
          <a:off x="2109374" y="2656450"/>
          <a:ext cx="920534" cy="58453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900" kern="1200"/>
            <a:t>22 pas de devis soit 39%</a:t>
          </a:r>
        </a:p>
      </dsp:txBody>
      <dsp:txXfrm>
        <a:off x="2126495" y="2673571"/>
        <a:ext cx="886292" cy="550297"/>
      </dsp:txXfrm>
    </dsp:sp>
    <dsp:sp modelId="{89D4F7A3-57F8-42FA-9449-7D7CE01E2766}">
      <dsp:nvSpPr>
        <dsp:cNvPr id="0" name=""/>
        <dsp:cNvSpPr/>
      </dsp:nvSpPr>
      <dsp:spPr>
        <a:xfrm>
          <a:off x="2569642" y="1707021"/>
          <a:ext cx="920534" cy="58453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1AD8FC48-B9AC-48EE-9FFD-45B3D8FE94C1}">
      <dsp:nvSpPr>
        <dsp:cNvPr id="0" name=""/>
        <dsp:cNvSpPr/>
      </dsp:nvSpPr>
      <dsp:spPr>
        <a:xfrm>
          <a:off x="2671923" y="1804188"/>
          <a:ext cx="920534" cy="58453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900" kern="1200"/>
            <a:t>193 refus soit 77%</a:t>
          </a:r>
        </a:p>
      </dsp:txBody>
      <dsp:txXfrm>
        <a:off x="2689044" y="1821309"/>
        <a:ext cx="886292" cy="550297"/>
      </dsp:txXfrm>
    </dsp:sp>
    <dsp:sp modelId="{9B4EA36C-614A-4020-B2C0-07E688548FE4}">
      <dsp:nvSpPr>
        <dsp:cNvPr id="0" name=""/>
        <dsp:cNvSpPr/>
      </dsp:nvSpPr>
      <dsp:spPr>
        <a:xfrm>
          <a:off x="4257289" y="854759"/>
          <a:ext cx="920534" cy="58453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EBB08151-95DE-4748-833E-331B5BD2D91A}">
      <dsp:nvSpPr>
        <dsp:cNvPr id="0" name=""/>
        <dsp:cNvSpPr/>
      </dsp:nvSpPr>
      <dsp:spPr>
        <a:xfrm>
          <a:off x="4359571" y="951926"/>
          <a:ext cx="920534" cy="58453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900" kern="1200"/>
            <a:t>Mode B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900" kern="1200"/>
            <a:t>1250 soit 83%</a:t>
          </a:r>
        </a:p>
      </dsp:txBody>
      <dsp:txXfrm>
        <a:off x="4376692" y="969047"/>
        <a:ext cx="886292" cy="550297"/>
      </dsp:txXfrm>
    </dsp:sp>
    <dsp:sp modelId="{F0A156A8-52F8-4B56-A9FD-52589E3B94EF}">
      <dsp:nvSpPr>
        <dsp:cNvPr id="0" name=""/>
        <dsp:cNvSpPr/>
      </dsp:nvSpPr>
      <dsp:spPr>
        <a:xfrm>
          <a:off x="3694740" y="1707021"/>
          <a:ext cx="920534" cy="58453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B804AA83-BA73-4D91-B260-088A29077196}">
      <dsp:nvSpPr>
        <dsp:cNvPr id="0" name=""/>
        <dsp:cNvSpPr/>
      </dsp:nvSpPr>
      <dsp:spPr>
        <a:xfrm>
          <a:off x="3797022" y="1804188"/>
          <a:ext cx="920534" cy="58453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900" kern="1200"/>
            <a:t>5 clients venus en agence soit 0,40%</a:t>
          </a:r>
        </a:p>
      </dsp:txBody>
      <dsp:txXfrm>
        <a:off x="3814143" y="1821309"/>
        <a:ext cx="886292" cy="550297"/>
      </dsp:txXfrm>
    </dsp:sp>
    <dsp:sp modelId="{98E57FF8-E14A-4F0A-AA1B-7E2915DD90BC}">
      <dsp:nvSpPr>
        <dsp:cNvPr id="0" name=""/>
        <dsp:cNvSpPr/>
      </dsp:nvSpPr>
      <dsp:spPr>
        <a:xfrm>
          <a:off x="3132191" y="2559283"/>
          <a:ext cx="920534" cy="58453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4D6D7BF-8716-4721-9494-F84550088F7A}">
      <dsp:nvSpPr>
        <dsp:cNvPr id="0" name=""/>
        <dsp:cNvSpPr/>
      </dsp:nvSpPr>
      <dsp:spPr>
        <a:xfrm>
          <a:off x="3234472" y="2656450"/>
          <a:ext cx="920534" cy="58453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900" kern="1200"/>
            <a:t>3 devis réalisés soit 60%</a:t>
          </a:r>
        </a:p>
      </dsp:txBody>
      <dsp:txXfrm>
        <a:off x="3251593" y="2673571"/>
        <a:ext cx="886292" cy="550297"/>
      </dsp:txXfrm>
    </dsp:sp>
    <dsp:sp modelId="{6BA44E60-BC28-4EAD-B2E3-F0647199839C}">
      <dsp:nvSpPr>
        <dsp:cNvPr id="0" name=""/>
        <dsp:cNvSpPr/>
      </dsp:nvSpPr>
      <dsp:spPr>
        <a:xfrm>
          <a:off x="3132191" y="3411545"/>
          <a:ext cx="920534" cy="58453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E9EF51FB-BCDA-41E2-B20C-6997B929F8CD}">
      <dsp:nvSpPr>
        <dsp:cNvPr id="0" name=""/>
        <dsp:cNvSpPr/>
      </dsp:nvSpPr>
      <dsp:spPr>
        <a:xfrm>
          <a:off x="3234472" y="3508712"/>
          <a:ext cx="920534" cy="58453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900" kern="1200"/>
            <a:t>2 devis signés</a:t>
          </a:r>
        </a:p>
      </dsp:txBody>
      <dsp:txXfrm>
        <a:off x="3251593" y="3525833"/>
        <a:ext cx="886292" cy="550297"/>
      </dsp:txXfrm>
    </dsp:sp>
    <dsp:sp modelId="{02642FDA-8A81-4932-80EC-2C64A2181E7A}">
      <dsp:nvSpPr>
        <dsp:cNvPr id="0" name=""/>
        <dsp:cNvSpPr/>
      </dsp:nvSpPr>
      <dsp:spPr>
        <a:xfrm>
          <a:off x="4257289" y="2559283"/>
          <a:ext cx="920534" cy="58453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57B37283-6F3E-442F-A9E7-97845C32F977}">
      <dsp:nvSpPr>
        <dsp:cNvPr id="0" name=""/>
        <dsp:cNvSpPr/>
      </dsp:nvSpPr>
      <dsp:spPr>
        <a:xfrm>
          <a:off x="4359571" y="2656450"/>
          <a:ext cx="920534" cy="58453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900" kern="1200"/>
            <a:t>2 pas devis soit 40%</a:t>
          </a:r>
        </a:p>
      </dsp:txBody>
      <dsp:txXfrm>
        <a:off x="4376692" y="2673571"/>
        <a:ext cx="886292" cy="550297"/>
      </dsp:txXfrm>
    </dsp:sp>
    <dsp:sp modelId="{29A4D8AA-2621-44C7-A82A-7A302D87CA24}">
      <dsp:nvSpPr>
        <dsp:cNvPr id="0" name=""/>
        <dsp:cNvSpPr/>
      </dsp:nvSpPr>
      <dsp:spPr>
        <a:xfrm>
          <a:off x="4819838" y="1707021"/>
          <a:ext cx="920534" cy="58453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B58C9CC1-8F2E-45DF-9D16-557EBE7246FE}">
      <dsp:nvSpPr>
        <dsp:cNvPr id="0" name=""/>
        <dsp:cNvSpPr/>
      </dsp:nvSpPr>
      <dsp:spPr>
        <a:xfrm>
          <a:off x="4922120" y="1804188"/>
          <a:ext cx="920534" cy="58453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900" kern="1200"/>
            <a:t>1245 refus soit 99,60%</a:t>
          </a:r>
        </a:p>
      </dsp:txBody>
      <dsp:txXfrm>
        <a:off x="4939241" y="1821309"/>
        <a:ext cx="886292" cy="55029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1">
  <dgm:title val=""/>
  <dgm:desc val=""/>
  <dgm:catLst>
    <dgm:cat type="hierarchy" pri="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hierChild1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ptType="node" op="equ" val="65"/>
      <dgm:constr type="w" for="des" forName="composite" refType="w"/>
      <dgm:constr type="h" for="des" forName="composite" refType="w" refFor="des" refForName="composite" fact="0.667"/>
      <dgm:constr type="w" for="des" forName="composite2" refType="w" refFor="des" refForName="composite"/>
      <dgm:constr type="h" for="des" forName="composite2" refType="h" refFor="des" refForName="composite"/>
      <dgm:constr type="w" for="des" forName="composite3" refType="w" refFor="des" refForName="composite"/>
      <dgm:constr type="h" for="des" forName="composite3" refType="h" refFor="des" refForName="composite"/>
      <dgm:constr type="w" for="des" forName="composite4" refType="w" refFor="des" refForName="composite"/>
      <dgm:constr type="h" for="des" forName="composite4" refType="h" refFor="des" refForName="composite"/>
      <dgm:constr type="w" for="des" forName="composite5" refType="w" refFor="des" refForName="composite"/>
      <dgm:constr type="h" for="des" forName="composite5" refType="h" refFor="des" refForName="composite"/>
      <dgm:constr type="sibSp" refType="w" refFor="des" refForName="composite" fact="0.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p" for="des" forName="hierRoot1" refType="h" refFor="des" refForName="composite" fact="0.25"/>
      <dgm:constr type="sp" for="des" forName="hierRoot2" refType="sp" refFor="des" refForName="hierRoot1"/>
      <dgm:constr type="sp" for="des" forName="hierRoot3" refType="sp" refFor="des" refForName="hierRoot1"/>
      <dgm:constr type="sp" for="des" forName="hierRoot4" refType="sp" refFor="des" refForName="hierRoot1"/>
      <dgm:constr type="sp" for="des" forName="hierRoot5" refType="sp" refFor="des" refForName="hierRoot1"/>
    </dgm:constrLst>
    <dgm:ruleLst/>
    <dgm:forEach name="Name3" axis="ch">
      <dgm:forEach name="Name4" axis="self" ptType="node">
        <dgm:layoutNode name="hierRoot1">
          <dgm:alg type="hierRoot"/>
          <dgm:shape xmlns:r="http://schemas.openxmlformats.org/officeDocument/2006/relationships" r:blip="">
            <dgm:adjLst/>
          </dgm:shape>
          <dgm:presOf/>
          <dgm:constrLst>
            <dgm:constr type="bendDist" for="des" ptType="parTrans" refType="sp" fact="0.5"/>
          </dgm:constrLst>
          <dgm:ruleLst/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onstrLst>
              <dgm:constr type="w" for="ch" forName="background" refType="w" fact="0.9"/>
              <dgm:constr type="h" for="ch" forName="background" refType="w" refFor="ch" refForName="background" fact="0.635"/>
              <dgm:constr type="t" for="ch" forName="background"/>
              <dgm:constr type="l" for="ch" forName="background"/>
              <dgm:constr type="w" for="ch" forName="text" refType="w" fact="0.9"/>
              <dgm:constr type="h" for="ch" forName="text" refType="w" refFor="ch" refForName="text" fact="0.635"/>
              <dgm:constr type="t" for="ch" forName="text" refType="w" fact="0.095"/>
              <dgm:constr type="l" for="ch" forName="text" refType="w" fact="0.1"/>
            </dgm:constrLst>
            <dgm:ruleLst/>
            <dgm:layoutNode name="background" styleLbl="node0" moveWith="text">
              <dgm:alg type="sp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/>
              <dgm:constrLst/>
              <dgm:ruleLst/>
            </dgm:layoutNode>
            <dgm:layoutNode name="text" styleLbl="fgAcc0">
              <dgm:varLst>
                <dgm:chPref val="3"/>
              </dgm:varLst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/>
              <dgm:constrLst>
                <dgm:constr type="tMarg" refType="primFontSz" fact="0.3"/>
                <dgm:constr type="bMarg" refType="primFontSz" fact="0.3"/>
                <dgm:constr type="lMarg" refType="primFontSz" fact="0.3"/>
                <dgm:constr type="rMarg" refType="primFontSz" fact="0.3"/>
              </dgm:constrLst>
              <dgm:ruleLst>
                <dgm:rule type="primFontSz" val="5" fact="NaN" max="NaN"/>
              </dgm:ruleLst>
            </dgm:layoutNode>
          </dgm:layoutNode>
          <dgm:layoutNode name="hierChild2">
            <dgm:choose name="Name5">
              <dgm:if name="Name6" func="var" arg="dir" op="equ" val="norm">
                <dgm:alg type="hierChild">
                  <dgm:param type="linDir" val="fromL"/>
                </dgm:alg>
              </dgm:if>
              <dgm:else name="Name7">
                <dgm:alg type="hierChild">
                  <dgm:param type="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8" axis="ch">
              <dgm:forEach name="Name9" axis="self" ptType="parTrans" cnt="1">
                <dgm:layoutNode name="Name10">
                  <dgm:alg type="conn">
                    <dgm:param type="dim" val="1D"/>
                    <dgm:param type="endSty" val="noArr"/>
                    <dgm:param type="connRout" val="bend"/>
                    <dgm:param type="bendPt" val="end"/>
                    <dgm:param type="begPts" val="bCtr"/>
                    <dgm:param type="endPts" val="tCtr"/>
                    <dgm:param type="srcNode" val="background"/>
                    <dgm:param type="dstNode" val="background2"/>
                  </dgm:alg>
                  <dgm:shape xmlns:r="http://schemas.openxmlformats.org/officeDocument/2006/relationships" type="conn" r:blip="" zOrderOff="-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1" axis="self" ptType="node">
                <dgm:layoutNode name="hierRoot2">
                  <dgm:alg type="hierRoot"/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bendDist" for="des" ptType="parTrans" refType="sp" fact="0.5"/>
                  </dgm:constrLst>
                  <dgm:ruleLst/>
                  <dgm:layoutNode name="composite2">
                    <dgm:alg type="composite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w" for="ch" forName="background2" refType="w" fact="0.9"/>
                      <dgm:constr type="h" for="ch" forName="background2" refType="w" refFor="ch" refForName="background2" fact="0.635"/>
                      <dgm:constr type="t" for="ch" forName="background2"/>
                      <dgm:constr type="l" for="ch" forName="background2"/>
                      <dgm:constr type="w" for="ch" forName="text2" refType="w" fact="0.9"/>
                      <dgm:constr type="h" for="ch" forName="text2" refType="w" refFor="ch" refForName="text2" fact="0.635"/>
                      <dgm:constr type="t" for="ch" forName="text2" refType="w" fact="0.095"/>
                      <dgm:constr type="l" for="ch" forName="text2" refType="w" fact="0.1"/>
                    </dgm:constrLst>
                    <dgm:ruleLst/>
                    <dgm:layoutNode name="background2" moveWith="text2">
                      <dgm:alg type="sp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/>
                      <dgm:constrLst/>
                      <dgm:ruleLst/>
                    </dgm:layoutNode>
                    <dgm:layoutNode name="text2" styleLbl="fgAcc2">
                      <dgm:varLst>
                        <dgm:chPref val="3"/>
                      </dgm:varLst>
                      <dgm:alg type="tx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self"/>
                      <dgm:constrLst>
                        <dgm:constr type="tMarg" refType="primFontSz" fact="0.3"/>
                        <dgm:constr type="bMarg" refType="primFontSz" fact="0.3"/>
                        <dgm:constr type="lMarg" refType="primFontSz" fact="0.3"/>
                        <dgm:constr type="r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</dgm:layoutNode>
                  <dgm:layoutNode name="hierChild3">
                    <dgm:choose name="Name12">
                      <dgm:if name="Name13" func="var" arg="dir" op="equ" val="norm">
                        <dgm:alg type="hierChild">
                          <dgm:param type="linDir" val="fromL"/>
                        </dgm:alg>
                      </dgm:if>
                      <dgm:else name="Name14">
                        <dgm:alg type="hierChild">
                          <dgm:param type="linDir" val="from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15" axis="ch">
                      <dgm:forEach name="Name16" axis="self" ptType="parTrans" cnt="1">
                        <dgm:layoutNode name="Name17">
                          <dgm:alg type="conn">
                            <dgm:param type="dim" val="1D"/>
                            <dgm:param type="endSty" val="noArr"/>
                            <dgm:param type="connRout" val="bend"/>
                            <dgm:param type="bendPt" val="end"/>
                            <dgm:param type="begPts" val="bCtr"/>
                            <dgm:param type="endPts" val="tCtr"/>
                            <dgm:param type="srcNode" val="background2"/>
                            <dgm:param type="dstNode" val="background3"/>
                          </dgm:alg>
                          <dgm:shape xmlns:r="http://schemas.openxmlformats.org/officeDocument/2006/relationships" type="conn" r:blip="" zOrderOff="-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forEach>
                      <dgm:forEach name="Name18" axis="self" ptType="node">
                        <dgm:layoutNode name="hierRoot3">
                          <dgm:alg type="hierRoot"/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constrLst>
                            <dgm:constr type="bendDist" for="des" ptType="parTrans" refType="sp" fact="0.5"/>
                          </dgm:constrLst>
                          <dgm:ruleLst/>
                          <dgm:layoutNode name="composite3">
                            <dgm:alg type="composite"/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w" for="ch" forName="background3" refType="w" fact="0.9"/>
                              <dgm:constr type="h" for="ch" forName="background3" refType="w" refFor="ch" refForName="background3" fact="0.635"/>
                              <dgm:constr type="t" for="ch" forName="background3"/>
                              <dgm:constr type="l" for="ch" forName="background3"/>
                              <dgm:constr type="w" for="ch" forName="text3" refType="w" fact="0.9"/>
                              <dgm:constr type="h" for="ch" forName="text3" refType="w" refFor="ch" refForName="text3" fact="0.635"/>
                              <dgm:constr type="t" for="ch" forName="text3" refType="w" fact="0.095"/>
                              <dgm:constr type="l" for="ch" forName="text3" refType="w" fact="0.1"/>
                            </dgm:constrLst>
                            <dgm:ruleLst/>
                            <dgm:layoutNode name="background3" moveWith="text3">
                              <dgm:alg type="sp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/>
                              <dgm:constrLst/>
                              <dgm:ruleLst/>
                            </dgm:layoutNode>
                            <dgm:layoutNode name="text3" styleLbl="fgAcc3">
                              <dgm:varLst>
                                <dgm:chPref val="3"/>
                              </dgm:varLst>
                              <dgm:alg type="tx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 axis="self"/>
                              <dgm:constrLst>
                                <dgm:constr type="tMarg" refType="primFontSz" fact="0.3"/>
                                <dgm:constr type="bMarg" refType="primFontSz" fact="0.3"/>
                                <dgm:constr type="lMarg" refType="primFontSz" fact="0.3"/>
                                <dgm:constr type="rMarg" refType="primFontSz" fact="0.3"/>
                              </dgm:constrLst>
                              <dgm:ruleLst>
                                <dgm:rule type="primFontSz" val="5" fact="NaN" max="NaN"/>
                              </dgm:ruleLst>
                            </dgm:layoutNode>
                          </dgm:layoutNode>
                          <dgm:layoutNode name="hierChild4">
                            <dgm:choose name="Name19">
                              <dgm:if name="Name20" func="var" arg="dir" op="equ" val="norm">
                                <dgm:alg type="hierChild">
                                  <dgm:param type="linDir" val="fromL"/>
                                </dgm:alg>
                              </dgm:if>
                              <dgm:else name="Name21">
                                <dgm:alg type="hierChild">
                                  <dgm:param type="linDir" val="fromR"/>
                                </dgm:alg>
                              </dgm:else>
                            </dgm:choose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/>
                            <dgm:ruleLst/>
                            <dgm:forEach name="repeat" axis="ch">
                              <dgm:forEach name="Name22" axis="self" ptType="parTrans" cnt="1">
                                <dgm:layoutNode name="Name23">
                                  <dgm:choose name="Name24">
                                    <dgm:if name="Name25" axis="self" func="depth" op="lte" val="4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3"/>
                                        <dgm:param type="dstNode" val="background4"/>
                                      </dgm:alg>
                                    </dgm:if>
                                    <dgm:else name="Name26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4"/>
                                        <dgm:param type="dstNode" val="background4"/>
                                      </dgm:alg>
                                    </dgm:else>
                                  </dgm:choose>
                                  <dgm:shape xmlns:r="http://schemas.openxmlformats.org/officeDocument/2006/relationships" type="conn" r:blip="" zOrderOff="-999">
                                    <dgm:adjLst/>
                                  </dgm:shape>
                                  <dgm:presOf axis="self"/>
                                  <dgm:constrLst>
                                    <dgm:constr type="begPad"/>
                                    <dgm:constr type="endPad"/>
                                  </dgm:constrLst>
                                  <dgm:ruleLst/>
                                </dgm:layoutNode>
                              </dgm:forEach>
                              <dgm:forEach name="Name27" axis="self" ptType="node">
                                <dgm:layoutNode name="hierRoot4">
                                  <dgm:alg type="hierRoot"/>
                                  <dgm:shape xmlns:r="http://schemas.openxmlformats.org/officeDocument/2006/relationships" r:blip="">
                                    <dgm:adjLst/>
                                  </dgm:shape>
                                  <dgm:presOf/>
                                  <dgm:constrLst>
                                    <dgm:constr type="bendDist" for="des" ptType="parTrans" refType="sp" fact="0.5"/>
                                  </dgm:constrLst>
                                  <dgm:ruleLst/>
                                  <dgm:layoutNode name="composite4">
                                    <dgm:alg type="composite"/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>
                                      <dgm:constr type="w" for="ch" forName="background4" refType="w" fact="0.9"/>
                                      <dgm:constr type="h" for="ch" forName="background4" refType="w" refFor="ch" refForName="background4" fact="0.635"/>
                                      <dgm:constr type="t" for="ch" forName="background4"/>
                                      <dgm:constr type="l" for="ch" forName="background4"/>
                                      <dgm:constr type="w" for="ch" forName="text4" refType="w" fact="0.9"/>
                                      <dgm:constr type="h" for="ch" forName="text4" refType="w" refFor="ch" refForName="text4" fact="0.635"/>
                                      <dgm:constr type="t" for="ch" forName="text4" refType="w" fact="0.095"/>
                                      <dgm:constr type="l" for="ch" forName="text4" refType="w" fact="0.1"/>
                                    </dgm:constrLst>
                                    <dgm:ruleLst/>
                                    <dgm:layoutNode name="background4" moveWith="text4">
                                      <dgm:alg type="sp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/>
                                      <dgm:constrLst/>
                                      <dgm:ruleLst/>
                                    </dgm:layoutNode>
                                    <dgm:layoutNode name="text4" styleLbl="fgAcc4">
                                      <dgm:varLst>
                                        <dgm:chPref val="3"/>
                                      </dgm:varLst>
                                      <dgm:alg type="tx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 axis="self"/>
                                      <dgm:constrLst>
                                        <dgm:constr type="tMarg" refType="primFontSz" fact="0.3"/>
                                        <dgm:constr type="bMarg" refType="primFontSz" fact="0.3"/>
                                        <dgm:constr type="lMarg" refType="primFontSz" fact="0.3"/>
                                        <dgm:constr type="rMarg" refType="primFontSz" fact="0.3"/>
                                      </dgm:constrLst>
                                      <dgm:ruleLst>
                                        <dgm:rule type="primFontSz" val="5" fact="NaN" max="NaN"/>
                                      </dgm:ruleLst>
                                    </dgm:layoutNode>
                                  </dgm:layoutNode>
                                  <dgm:layoutNode name="hierChild5">
                                    <dgm:choose name="Name28">
                                      <dgm:if name="Name29" func="var" arg="dir" op="equ" val="norm">
                                        <dgm:alg type="hierChild">
                                          <dgm:param type="linDir" val="fromL"/>
                                        </dgm:alg>
                                      </dgm:if>
                                      <dgm:else name="Name30">
                                        <dgm:alg type="hierChild">
                                          <dgm:param type="linDir" val="fromR"/>
                                        </dgm:alg>
                                      </dgm:else>
                                    </dgm:choose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/>
                                    <dgm:ruleLst/>
                                    <dgm:forEach name="Name31" ref="repeat"/>
                                  </dgm:layoutNode>
                                </dgm:layoutNode>
                              </dgm:forEach>
                            </dgm:forEach>
                          </dgm:layoutNode>
                        </dgm:layoutNode>
                      </dgm:forEach>
                    </dgm:forEach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209550</xdr:colOff>
      <xdr:row>3</xdr:row>
      <xdr:rowOff>790575</xdr:rowOff>
    </xdr:from>
    <xdr:to>
      <xdr:col>17</xdr:col>
      <xdr:colOff>76200</xdr:colOff>
      <xdr:row>23</xdr:row>
      <xdr:rowOff>123825</xdr:rowOff>
    </xdr:to>
    <xdr:graphicFrame macro="">
      <xdr:nvGraphicFramePr>
        <xdr:cNvPr id="2" name="Diagramme 1">
          <a:extLst>
            <a:ext uri="{FF2B5EF4-FFF2-40B4-BE49-F238E27FC236}">
              <a16:creationId xmlns:a16="http://schemas.microsoft.com/office/drawing/2014/main" id="{63FE1623-9220-4415-8EF9-0FFDFB325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723900</xdr:colOff>
      <xdr:row>11</xdr:row>
      <xdr:rowOff>144780</xdr:rowOff>
    </xdr:from>
    <xdr:to>
      <xdr:col>9</xdr:col>
      <xdr:colOff>381000</xdr:colOff>
      <xdr:row>17</xdr:row>
      <xdr:rowOff>213360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2D023846-979F-424C-9720-015155DC327C}"/>
            </a:ext>
          </a:extLst>
        </xdr:cNvPr>
        <xdr:cNvSpPr txBox="1"/>
      </xdr:nvSpPr>
      <xdr:spPr>
        <a:xfrm>
          <a:off x="6156960" y="2941320"/>
          <a:ext cx="5151120" cy="22707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Globalement la campagne sur la cible</a:t>
          </a:r>
          <a:r>
            <a:rPr lang="fr-FR" sz="1100" baseline="0"/>
            <a:t> des séjours linguistiques (cible 2) est plus efficace avec un taux de conversion de 11% contre 5% pour la cible des organismes publics (cible1)</a:t>
          </a:r>
        </a:p>
        <a:p>
          <a:r>
            <a:rPr lang="fr-FR" sz="1100"/>
            <a:t>Les taux de contacts sont très bons sur les deux cibles : les fichiers sont de qualité.</a:t>
          </a:r>
        </a:p>
        <a:p>
          <a:r>
            <a:rPr lang="fr-FR" sz="1100"/>
            <a:t>Les</a:t>
          </a:r>
          <a:r>
            <a:rPr lang="fr-FR" sz="1100" baseline="0"/>
            <a:t> taux d'entretiens sont très bons sur les deux cibles : phase d'accroche, de présentation de l'entreprise et de ses produits sont maitrisées par les commerciaux.</a:t>
          </a:r>
        </a:p>
        <a:p>
          <a:r>
            <a:rPr lang="fr-FR" sz="1100" baseline="0"/>
            <a:t>La cible 2 porte un intérêt plus grand pour les produits de l'entreprise (75%) que la cible 1 (41%). Ils représentent des" prospects tièdes" qu'il faut travailler, accompagner dans leur parcours d'achat pour les convertir en clients.</a:t>
          </a:r>
        </a:p>
        <a:p>
          <a:r>
            <a:rPr lang="fr-FR" sz="1100" baseline="0"/>
            <a:t>Bonne qualité d'argumentation et capacité à prendre des devis.</a:t>
          </a:r>
        </a:p>
        <a:p>
          <a:r>
            <a:rPr lang="fr-FR" sz="1100" baseline="0"/>
            <a:t>Les meilleurs taux de concrétisation et taux de conversion traduisent une adéquation plus grande entre les produits et les besoins de la cible 2.</a:t>
          </a:r>
        </a:p>
        <a:p>
          <a:endParaRPr lang="fr-FR" sz="1100" baseline="0"/>
        </a:p>
        <a:p>
          <a:endParaRPr lang="fr-FR" sz="1100" baseline="0"/>
        </a:p>
        <a:p>
          <a:endParaRPr lang="fr-FR" sz="1100" baseline="0"/>
        </a:p>
        <a:p>
          <a:endParaRPr lang="fr-FR" sz="1100"/>
        </a:p>
        <a:p>
          <a:endParaRPr lang="fr-F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DRC/FOUCHER/Bloc%201%20Relation%20Client%20et%20n&#233;gociation-vente/Chapitre%209%20evaluer%20l'efficacit&#233;%20d'une%20d&#233;marche%20de%20prospection/CHAP9%20Evaluer%20l'efficacit&#233;%20d'une%20d&#233;marche%20de%20prospe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sources site ecommerce"/>
      <sheetName val="Mission 1 corrigé"/>
      <sheetName val=" Mission 2 corrigé"/>
      <sheetName val="Mission 3 corrigé"/>
      <sheetName val="Exo 1 corrigé "/>
      <sheetName val="Exo 2 corrigé"/>
      <sheetName val="Exo 3 corrigé"/>
      <sheetName val="Exo 4corrigé"/>
      <sheetName val="Feuil1"/>
    </sheetNames>
    <sheetDataSet>
      <sheetData sheetId="0">
        <row r="2">
          <cell r="B2">
            <v>27991</v>
          </cell>
        </row>
        <row r="3">
          <cell r="B3">
            <v>1004</v>
          </cell>
        </row>
        <row r="4">
          <cell r="B4">
            <v>2959</v>
          </cell>
        </row>
        <row r="5">
          <cell r="B5">
            <v>1676</v>
          </cell>
        </row>
        <row r="6">
          <cell r="B6">
            <v>271</v>
          </cell>
        </row>
        <row r="7">
          <cell r="B7">
            <v>5200</v>
          </cell>
        </row>
        <row r="9">
          <cell r="B9">
            <v>26987</v>
          </cell>
        </row>
        <row r="10">
          <cell r="B10">
            <v>26315</v>
          </cell>
        </row>
        <row r="11">
          <cell r="B11">
            <v>1283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5">
          <cell r="D5">
            <v>2</v>
          </cell>
        </row>
        <row r="6">
          <cell r="D6">
            <v>8</v>
          </cell>
        </row>
        <row r="7">
          <cell r="D7">
            <v>800</v>
          </cell>
        </row>
        <row r="10">
          <cell r="D10">
            <v>15</v>
          </cell>
        </row>
        <row r="11">
          <cell r="D11">
            <v>20</v>
          </cell>
        </row>
        <row r="12">
          <cell r="D12">
            <v>5</v>
          </cell>
        </row>
        <row r="13">
          <cell r="D13">
            <v>0.15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5"/>
  <sheetViews>
    <sheetView topLeftCell="A10" workbookViewId="0">
      <selection activeCell="H32" sqref="H32"/>
    </sheetView>
  </sheetViews>
  <sheetFormatPr baseColWidth="10" defaultRowHeight="15" x14ac:dyDescent="0.25"/>
  <cols>
    <col min="2" max="2" width="17.5703125" customWidth="1"/>
    <col min="3" max="3" width="15.85546875" customWidth="1"/>
    <col min="4" max="4" width="18.140625" customWidth="1"/>
  </cols>
  <sheetData>
    <row r="2" spans="1:7" ht="27.75" customHeight="1" x14ac:dyDescent="0.25">
      <c r="A2" t="s">
        <v>46</v>
      </c>
      <c r="D2" s="29">
        <v>1500</v>
      </c>
    </row>
    <row r="3" spans="1:7" ht="27.75" customHeight="1" x14ac:dyDescent="0.25"/>
    <row r="4" spans="1:7" ht="75" x14ac:dyDescent="0.25">
      <c r="A4" s="17" t="s">
        <v>47</v>
      </c>
      <c r="B4" s="17" t="s">
        <v>48</v>
      </c>
      <c r="C4" s="17" t="s">
        <v>49</v>
      </c>
      <c r="D4" s="17" t="s">
        <v>50</v>
      </c>
      <c r="E4" s="17" t="s">
        <v>51</v>
      </c>
      <c r="F4" s="17" t="s">
        <v>52</v>
      </c>
      <c r="G4" s="17" t="s">
        <v>53</v>
      </c>
    </row>
    <row r="5" spans="1:7" x14ac:dyDescent="0.25">
      <c r="A5" s="30">
        <v>250</v>
      </c>
      <c r="B5" s="30">
        <v>1250</v>
      </c>
      <c r="C5" s="30">
        <v>57</v>
      </c>
      <c r="D5" s="30">
        <v>5</v>
      </c>
      <c r="E5" s="30">
        <v>35</v>
      </c>
      <c r="F5" s="30">
        <v>3</v>
      </c>
      <c r="G5" s="30">
        <v>40</v>
      </c>
    </row>
    <row r="7" spans="1:7" x14ac:dyDescent="0.25">
      <c r="A7" s="3" t="s">
        <v>54</v>
      </c>
      <c r="B7" s="3"/>
      <c r="C7" s="3"/>
      <c r="D7" s="3"/>
      <c r="E7" s="3"/>
      <c r="F7" s="3"/>
    </row>
    <row r="8" spans="1:7" x14ac:dyDescent="0.25">
      <c r="A8" s="20" t="s">
        <v>55</v>
      </c>
      <c r="B8" s="31">
        <f>A5/D2</f>
        <v>0.16666666666666666</v>
      </c>
      <c r="C8" s="3"/>
      <c r="D8" s="3"/>
      <c r="E8" s="3"/>
      <c r="F8" s="3"/>
    </row>
    <row r="9" spans="1:7" x14ac:dyDescent="0.25">
      <c r="A9" s="20" t="s">
        <v>56</v>
      </c>
      <c r="B9" s="31">
        <f>B5/D2</f>
        <v>0.83333333333333337</v>
      </c>
      <c r="C9" s="3"/>
      <c r="D9" s="3"/>
      <c r="E9" s="3"/>
      <c r="F9" s="3"/>
    </row>
    <row r="10" spans="1:7" x14ac:dyDescent="0.25">
      <c r="A10" s="3"/>
      <c r="B10" s="3"/>
      <c r="C10" s="3"/>
      <c r="D10" s="32" t="s">
        <v>57</v>
      </c>
      <c r="E10" s="32" t="s">
        <v>58</v>
      </c>
    </row>
    <row r="11" spans="1:7" x14ac:dyDescent="0.25">
      <c r="A11" s="20" t="s">
        <v>59</v>
      </c>
      <c r="B11" s="20"/>
      <c r="C11" s="20"/>
      <c r="D11" s="32">
        <f>C5+D5</f>
        <v>62</v>
      </c>
      <c r="E11" s="24">
        <f>D11/$D$2</f>
        <v>4.1333333333333333E-2</v>
      </c>
    </row>
    <row r="12" spans="1:7" x14ac:dyDescent="0.25">
      <c r="A12" s="20" t="s">
        <v>60</v>
      </c>
      <c r="B12" s="20"/>
      <c r="C12" s="20"/>
      <c r="D12" s="32">
        <f>C5</f>
        <v>57</v>
      </c>
      <c r="E12" s="24">
        <f t="shared" ref="E12:E13" si="0">D12/$D$2</f>
        <v>3.7999999999999999E-2</v>
      </c>
    </row>
    <row r="13" spans="1:7" x14ac:dyDescent="0.25">
      <c r="A13" s="20" t="s">
        <v>61</v>
      </c>
      <c r="B13" s="20"/>
      <c r="C13" s="20"/>
      <c r="D13" s="32">
        <f>D5</f>
        <v>5</v>
      </c>
      <c r="E13" s="24">
        <f t="shared" si="0"/>
        <v>3.3333333333333335E-3</v>
      </c>
    </row>
    <row r="14" spans="1:7" x14ac:dyDescent="0.25">
      <c r="A14" s="3"/>
      <c r="B14" s="3"/>
      <c r="C14" s="3"/>
      <c r="D14" s="3"/>
      <c r="E14" s="3"/>
      <c r="F14" s="4"/>
    </row>
    <row r="15" spans="1:7" x14ac:dyDescent="0.25">
      <c r="B15" s="3"/>
      <c r="C15" s="3"/>
      <c r="D15" s="3"/>
      <c r="E15" s="3"/>
      <c r="F15" s="3"/>
    </row>
    <row r="16" spans="1:7" x14ac:dyDescent="0.25">
      <c r="A16" s="3" t="s">
        <v>62</v>
      </c>
      <c r="B16" s="3"/>
      <c r="C16" s="3"/>
      <c r="D16" s="3"/>
      <c r="E16" s="32" t="s">
        <v>63</v>
      </c>
      <c r="F16" s="32" t="s">
        <v>58</v>
      </c>
    </row>
    <row r="17" spans="1:8" x14ac:dyDescent="0.25">
      <c r="A17" s="40" t="str">
        <f>A12</f>
        <v>Nombre de personnes venus en agence mode A</v>
      </c>
      <c r="B17" s="41"/>
      <c r="C17" s="41"/>
      <c r="D17" s="42"/>
      <c r="E17" s="32">
        <f>C5</f>
        <v>57</v>
      </c>
      <c r="F17" s="24">
        <f>E17/$E$19</f>
        <v>0.91935483870967738</v>
      </c>
      <c r="H17" s="2"/>
    </row>
    <row r="18" spans="1:8" x14ac:dyDescent="0.25">
      <c r="A18" s="40" t="str">
        <f>A13</f>
        <v>Nombre de personnes venus en agence mode B</v>
      </c>
      <c r="B18" s="41"/>
      <c r="C18" s="41"/>
      <c r="D18" s="42"/>
      <c r="E18" s="32">
        <f>D5</f>
        <v>5</v>
      </c>
      <c r="F18" s="24">
        <f t="shared" ref="F18:F19" si="1">E18/$E$19</f>
        <v>8.0645161290322578E-2</v>
      </c>
    </row>
    <row r="19" spans="1:8" x14ac:dyDescent="0.25">
      <c r="A19" s="43" t="s">
        <v>3</v>
      </c>
      <c r="B19" s="44"/>
      <c r="C19" s="44"/>
      <c r="D19" s="45"/>
      <c r="E19" s="32">
        <f>C5+D5</f>
        <v>62</v>
      </c>
      <c r="F19" s="24">
        <f t="shared" si="1"/>
        <v>1</v>
      </c>
    </row>
    <row r="20" spans="1:8" x14ac:dyDescent="0.25">
      <c r="A20" s="3"/>
      <c r="B20" s="3"/>
      <c r="C20" s="3"/>
      <c r="D20" s="3"/>
      <c r="E20" s="3"/>
      <c r="F20" s="3"/>
    </row>
    <row r="21" spans="1:8" x14ac:dyDescent="0.25">
      <c r="A21" s="3"/>
      <c r="B21" s="3"/>
      <c r="C21" s="3"/>
      <c r="D21" s="3"/>
      <c r="E21" s="3"/>
      <c r="F21" s="3"/>
      <c r="G21" t="s">
        <v>64</v>
      </c>
    </row>
    <row r="22" spans="1:8" ht="30" x14ac:dyDescent="0.25">
      <c r="A22" s="22" t="s">
        <v>65</v>
      </c>
      <c r="B22" s="22" t="s">
        <v>66</v>
      </c>
      <c r="C22" s="22" t="s">
        <v>58</v>
      </c>
      <c r="D22" s="21" t="s">
        <v>67</v>
      </c>
      <c r="E22" s="22" t="s">
        <v>58</v>
      </c>
      <c r="F22" s="3"/>
    </row>
    <row r="23" spans="1:8" x14ac:dyDescent="0.25">
      <c r="A23" s="22" t="s">
        <v>55</v>
      </c>
      <c r="B23" s="22">
        <f>C5</f>
        <v>57</v>
      </c>
      <c r="C23" s="15">
        <f>C5/A5</f>
        <v>0.22800000000000001</v>
      </c>
      <c r="D23" s="22">
        <f>A5-B23</f>
        <v>193</v>
      </c>
      <c r="E23" s="15">
        <f>D23/A5</f>
        <v>0.77200000000000002</v>
      </c>
      <c r="F23" s="19"/>
    </row>
    <row r="24" spans="1:8" x14ac:dyDescent="0.25">
      <c r="A24" s="22" t="s">
        <v>56</v>
      </c>
      <c r="B24" s="22">
        <f>D5</f>
        <v>5</v>
      </c>
      <c r="C24" s="23">
        <f>D5/B5</f>
        <v>4.0000000000000001E-3</v>
      </c>
      <c r="D24" s="22">
        <f>B5-B24</f>
        <v>1245</v>
      </c>
      <c r="E24" s="23">
        <f>D24/B5</f>
        <v>0.996</v>
      </c>
      <c r="F24" s="19"/>
    </row>
    <row r="25" spans="1:8" x14ac:dyDescent="0.25">
      <c r="A25" s="3"/>
      <c r="B25" s="3"/>
      <c r="C25" s="3"/>
      <c r="D25" s="3"/>
      <c r="E25" s="3"/>
      <c r="F25" s="3"/>
    </row>
    <row r="26" spans="1:8" x14ac:dyDescent="0.25">
      <c r="A26" s="3"/>
      <c r="B26" s="3"/>
      <c r="C26" s="3"/>
      <c r="D26" s="3"/>
      <c r="E26" s="3"/>
      <c r="F26" s="3"/>
    </row>
    <row r="27" spans="1:8" x14ac:dyDescent="0.25">
      <c r="A27" s="46" t="s">
        <v>68</v>
      </c>
      <c r="B27" s="46"/>
      <c r="C27" s="46"/>
      <c r="D27" s="46"/>
      <c r="E27" s="46"/>
      <c r="F27" s="3"/>
    </row>
    <row r="28" spans="1:8" x14ac:dyDescent="0.25">
      <c r="A28" s="32"/>
      <c r="B28" s="32" t="s">
        <v>69</v>
      </c>
      <c r="C28" s="32" t="s">
        <v>58</v>
      </c>
      <c r="D28" s="32" t="s">
        <v>70</v>
      </c>
      <c r="E28" s="32" t="s">
        <v>58</v>
      </c>
      <c r="F28" s="3"/>
    </row>
    <row r="29" spans="1:8" x14ac:dyDescent="0.25">
      <c r="A29" s="22" t="s">
        <v>55</v>
      </c>
      <c r="B29" s="32">
        <f>E5</f>
        <v>35</v>
      </c>
      <c r="C29" s="13">
        <f>B29/E17</f>
        <v>0.61403508771929827</v>
      </c>
      <c r="D29" s="32">
        <f>E17-B29</f>
        <v>22</v>
      </c>
      <c r="E29" s="13">
        <f>D29/C5</f>
        <v>0.38596491228070173</v>
      </c>
      <c r="F29" s="3"/>
    </row>
    <row r="30" spans="1:8" x14ac:dyDescent="0.25">
      <c r="A30" s="22" t="s">
        <v>56</v>
      </c>
      <c r="B30" s="32">
        <f>F5</f>
        <v>3</v>
      </c>
      <c r="C30" s="13">
        <f>B30/E18</f>
        <v>0.6</v>
      </c>
      <c r="D30" s="32">
        <f>E18-B30</f>
        <v>2</v>
      </c>
      <c r="E30" s="13">
        <f>D30/D5</f>
        <v>0.4</v>
      </c>
      <c r="F30" s="3"/>
    </row>
    <row r="31" spans="1:8" x14ac:dyDescent="0.25">
      <c r="A31" s="22" t="s">
        <v>3</v>
      </c>
      <c r="B31" s="32">
        <f>B29+B30</f>
        <v>38</v>
      </c>
      <c r="C31" s="32"/>
      <c r="D31" s="32">
        <f>E19-B31</f>
        <v>24</v>
      </c>
      <c r="E31" s="32"/>
      <c r="F31" s="3"/>
    </row>
    <row r="33" spans="2:5" x14ac:dyDescent="0.25">
      <c r="B33" t="s">
        <v>71</v>
      </c>
    </row>
    <row r="34" spans="2:5" ht="48" customHeight="1" x14ac:dyDescent="0.25">
      <c r="B34" s="30" t="s">
        <v>55</v>
      </c>
      <c r="C34" s="30" t="s">
        <v>56</v>
      </c>
      <c r="D34" s="18" t="s">
        <v>72</v>
      </c>
      <c r="E34" s="30" t="s">
        <v>3</v>
      </c>
    </row>
    <row r="35" spans="2:5" x14ac:dyDescent="0.25">
      <c r="B35" s="30">
        <v>30</v>
      </c>
      <c r="C35" s="30">
        <v>2</v>
      </c>
      <c r="D35" s="30">
        <f>E35-(B35+C35)</f>
        <v>8</v>
      </c>
      <c r="E35" s="30">
        <v>40</v>
      </c>
    </row>
  </sheetData>
  <mergeCells count="4">
    <mergeCell ref="A17:D17"/>
    <mergeCell ref="A18:D18"/>
    <mergeCell ref="A19:D19"/>
    <mergeCell ref="A27:E2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8"/>
  <sheetViews>
    <sheetView showGridLines="0" workbookViewId="0">
      <selection activeCell="N38" sqref="N38"/>
    </sheetView>
  </sheetViews>
  <sheetFormatPr baseColWidth="10" defaultRowHeight="15" x14ac:dyDescent="0.25"/>
  <cols>
    <col min="1" max="1" width="11" customWidth="1"/>
    <col min="2" max="2" width="10.7109375" customWidth="1"/>
    <col min="3" max="3" width="8.42578125" customWidth="1"/>
    <col min="4" max="4" width="7" customWidth="1"/>
    <col min="5" max="5" width="9.42578125" customWidth="1"/>
    <col min="6" max="6" width="6.85546875" customWidth="1"/>
    <col min="7" max="7" width="8.28515625" customWidth="1"/>
    <col min="8" max="8" width="7.85546875" customWidth="1"/>
    <col min="9" max="9" width="7.28515625" customWidth="1"/>
    <col min="10" max="10" width="8.42578125" customWidth="1"/>
    <col min="11" max="11" width="7.85546875" customWidth="1"/>
    <col min="12" max="12" width="5" customWidth="1"/>
    <col min="13" max="13" width="6.140625" customWidth="1"/>
    <col min="14" max="14" width="15.28515625" customWidth="1"/>
    <col min="15" max="16" width="5.7109375" customWidth="1"/>
  </cols>
  <sheetData>
    <row r="2" spans="1:14" x14ac:dyDescent="0.25">
      <c r="B2" t="s">
        <v>73</v>
      </c>
    </row>
    <row r="4" spans="1:14" x14ac:dyDescent="0.25">
      <c r="A4" t="s">
        <v>74</v>
      </c>
      <c r="D4" s="33" t="s">
        <v>75</v>
      </c>
    </row>
    <row r="5" spans="1:14" x14ac:dyDescent="0.25">
      <c r="A5" t="s">
        <v>76</v>
      </c>
      <c r="D5" s="33">
        <v>2</v>
      </c>
      <c r="J5" s="34"/>
      <c r="N5" s="34"/>
    </row>
    <row r="6" spans="1:14" x14ac:dyDescent="0.25">
      <c r="A6" t="s">
        <v>77</v>
      </c>
      <c r="D6" s="33">
        <v>8</v>
      </c>
      <c r="J6" s="34"/>
      <c r="N6" s="34"/>
    </row>
    <row r="7" spans="1:14" x14ac:dyDescent="0.25">
      <c r="A7" t="s">
        <v>78</v>
      </c>
      <c r="D7" s="33">
        <f>nb_jours_prospection*nb_heures_jour*Appels_heure*2.5</f>
        <v>800</v>
      </c>
      <c r="G7" s="29"/>
    </row>
    <row r="8" spans="1:14" x14ac:dyDescent="0.25">
      <c r="D8" s="33"/>
      <c r="G8" s="29"/>
    </row>
    <row r="9" spans="1:14" x14ac:dyDescent="0.25">
      <c r="A9" t="s">
        <v>79</v>
      </c>
      <c r="D9" s="33"/>
    </row>
    <row r="10" spans="1:14" x14ac:dyDescent="0.25">
      <c r="A10" t="s">
        <v>80</v>
      </c>
      <c r="D10" s="33">
        <v>15</v>
      </c>
    </row>
    <row r="11" spans="1:14" x14ac:dyDescent="0.25">
      <c r="A11" t="s">
        <v>30</v>
      </c>
      <c r="D11">
        <v>20</v>
      </c>
    </row>
    <row r="12" spans="1:14" x14ac:dyDescent="0.25">
      <c r="A12" t="s">
        <v>81</v>
      </c>
      <c r="D12">
        <v>5</v>
      </c>
    </row>
    <row r="13" spans="1:14" x14ac:dyDescent="0.25">
      <c r="A13" t="s">
        <v>82</v>
      </c>
      <c r="D13" s="2">
        <v>0.15</v>
      </c>
      <c r="E13" t="s">
        <v>83</v>
      </c>
    </row>
    <row r="14" spans="1:14" x14ac:dyDescent="0.25">
      <c r="A14" t="s">
        <v>84</v>
      </c>
      <c r="D14" s="35">
        <v>0.95</v>
      </c>
    </row>
    <row r="15" spans="1:14" ht="21.75" customHeight="1" x14ac:dyDescent="0.25"/>
    <row r="16" spans="1:14" ht="53.45" customHeight="1" x14ac:dyDescent="0.25">
      <c r="A16" t="s">
        <v>85</v>
      </c>
      <c r="B16" s="36" t="s">
        <v>86</v>
      </c>
      <c r="C16" s="36" t="s">
        <v>87</v>
      </c>
      <c r="D16" s="36" t="s">
        <v>88</v>
      </c>
      <c r="E16" s="36" t="s">
        <v>89</v>
      </c>
      <c r="F16" s="36" t="s">
        <v>90</v>
      </c>
      <c r="G16" s="36"/>
    </row>
    <row r="17" spans="1:8" x14ac:dyDescent="0.25">
      <c r="A17" t="s">
        <v>91</v>
      </c>
      <c r="B17">
        <v>300</v>
      </c>
      <c r="C17">
        <v>275</v>
      </c>
      <c r="D17">
        <v>70</v>
      </c>
      <c r="E17">
        <v>38</v>
      </c>
      <c r="F17">
        <v>11</v>
      </c>
    </row>
    <row r="18" spans="1:8" x14ac:dyDescent="0.25">
      <c r="A18" t="s">
        <v>92</v>
      </c>
      <c r="B18">
        <v>310</v>
      </c>
      <c r="C18">
        <v>200</v>
      </c>
      <c r="D18">
        <v>100</v>
      </c>
      <c r="E18">
        <v>32</v>
      </c>
      <c r="F18">
        <v>15</v>
      </c>
    </row>
    <row r="19" spans="1:8" x14ac:dyDescent="0.25">
      <c r="A19" t="s">
        <v>93</v>
      </c>
      <c r="B19">
        <v>152</v>
      </c>
      <c r="C19">
        <v>120</v>
      </c>
      <c r="D19">
        <v>30</v>
      </c>
      <c r="E19">
        <v>10</v>
      </c>
      <c r="F19">
        <f>D19*(taux_transformation_100_argumentés-0.05)</f>
        <v>2.9999999999999996</v>
      </c>
    </row>
    <row r="21" spans="1:8" ht="30" customHeight="1" x14ac:dyDescent="0.25"/>
    <row r="22" spans="1:8" x14ac:dyDescent="0.25">
      <c r="A22" t="s">
        <v>94</v>
      </c>
    </row>
    <row r="24" spans="1:8" ht="90" x14ac:dyDescent="0.25">
      <c r="A24" s="3"/>
      <c r="B24" s="21" t="s">
        <v>95</v>
      </c>
      <c r="C24" s="21" t="s">
        <v>96</v>
      </c>
      <c r="D24" s="21" t="s">
        <v>81</v>
      </c>
      <c r="E24" s="21" t="s">
        <v>4</v>
      </c>
    </row>
    <row r="25" spans="1:8" ht="24.75" customHeight="1" x14ac:dyDescent="0.25">
      <c r="A25" s="37" t="str">
        <f>A17</f>
        <v>Elsa</v>
      </c>
      <c r="B25" s="22">
        <f>Appels_heure*nb_heures_jour*nb_jours_prospection</f>
        <v>320</v>
      </c>
      <c r="C25" s="22">
        <f>contacts_heure*nb_heures_jour*nb_jours_prospection</f>
        <v>240</v>
      </c>
      <c r="D25" s="22">
        <f>appels_argumentés*nb_heures_jour*nb_jours_prospection</f>
        <v>80</v>
      </c>
      <c r="E25" s="22">
        <f>taux_transformation_100_argumentés*D25</f>
        <v>12</v>
      </c>
      <c r="F25" s="38"/>
      <c r="G25" s="38"/>
      <c r="H25" s="38"/>
    </row>
    <row r="26" spans="1:8" ht="21.75" customHeight="1" x14ac:dyDescent="0.25">
      <c r="A26" s="20" t="str">
        <f>A18</f>
        <v>Rayan</v>
      </c>
      <c r="B26" s="22">
        <f>Appels_heure*nb_heures_jour*nb_jours_prospection</f>
        <v>320</v>
      </c>
      <c r="C26" s="22">
        <f>contacts_heure*nb_heures_jour*nb_jours_prospection</f>
        <v>240</v>
      </c>
      <c r="D26" s="22">
        <f>appels_argumentés*nb_heures_jour*nb_jours_prospection</f>
        <v>80</v>
      </c>
      <c r="E26" s="22">
        <f>taux_transformation_100_argumentés*D26</f>
        <v>12</v>
      </c>
    </row>
    <row r="27" spans="1:8" ht="18.75" customHeight="1" x14ac:dyDescent="0.25">
      <c r="A27" s="20" t="str">
        <f>A19</f>
        <v>Vous</v>
      </c>
      <c r="B27" s="22">
        <f>B26/2</f>
        <v>160</v>
      </c>
      <c r="C27" s="22">
        <f t="shared" ref="C27:E27" si="0">C26/2</f>
        <v>120</v>
      </c>
      <c r="D27" s="22">
        <f t="shared" si="0"/>
        <v>40</v>
      </c>
      <c r="E27" s="22">
        <f t="shared" si="0"/>
        <v>6</v>
      </c>
    </row>
    <row r="28" spans="1:8" ht="22.5" customHeight="1" x14ac:dyDescent="0.25">
      <c r="A28" s="20" t="s">
        <v>97</v>
      </c>
      <c r="B28" s="22">
        <f t="shared" ref="B28:E28" si="1">SUM(B25:B27)</f>
        <v>800</v>
      </c>
      <c r="C28" s="22">
        <f t="shared" si="1"/>
        <v>600</v>
      </c>
      <c r="D28" s="22">
        <f t="shared" si="1"/>
        <v>200</v>
      </c>
      <c r="E28" s="22">
        <f t="shared" si="1"/>
        <v>30</v>
      </c>
    </row>
    <row r="33" spans="1:14" x14ac:dyDescent="0.25">
      <c r="A33" s="3"/>
      <c r="B33" s="47" t="s">
        <v>98</v>
      </c>
      <c r="C33" s="47"/>
      <c r="D33" s="47"/>
      <c r="E33" s="47" t="s">
        <v>99</v>
      </c>
      <c r="F33" s="47"/>
      <c r="G33" s="47"/>
      <c r="H33" s="47" t="s">
        <v>100</v>
      </c>
      <c r="I33" s="47"/>
      <c r="J33" s="47"/>
      <c r="K33" s="47" t="s">
        <v>101</v>
      </c>
      <c r="L33" s="47"/>
      <c r="M33" s="47"/>
      <c r="N33" s="48" t="s">
        <v>82</v>
      </c>
    </row>
    <row r="34" spans="1:14" ht="30" customHeight="1" x14ac:dyDescent="0.25">
      <c r="A34" s="3"/>
      <c r="B34" s="22" t="s">
        <v>3</v>
      </c>
      <c r="C34" s="22" t="s">
        <v>102</v>
      </c>
      <c r="D34" s="22" t="s">
        <v>58</v>
      </c>
      <c r="E34" s="22" t="s">
        <v>103</v>
      </c>
      <c r="F34" s="22" t="s">
        <v>102</v>
      </c>
      <c r="G34" s="22" t="s">
        <v>58</v>
      </c>
      <c r="H34" s="22" t="s">
        <v>103</v>
      </c>
      <c r="I34" s="22" t="s">
        <v>102</v>
      </c>
      <c r="J34" s="22" t="s">
        <v>58</v>
      </c>
      <c r="K34" s="22" t="s">
        <v>103</v>
      </c>
      <c r="L34" s="22" t="s">
        <v>102</v>
      </c>
      <c r="M34" s="22" t="s">
        <v>58</v>
      </c>
      <c r="N34" s="49"/>
    </row>
    <row r="35" spans="1:14" x14ac:dyDescent="0.25">
      <c r="A35" s="20" t="s">
        <v>91</v>
      </c>
      <c r="B35" s="32">
        <f>nb_Entreprises/5*2</f>
        <v>320</v>
      </c>
      <c r="C35" s="32">
        <f>B17</f>
        <v>300</v>
      </c>
      <c r="D35" s="31">
        <f>C35/B35</f>
        <v>0.9375</v>
      </c>
      <c r="E35" s="20">
        <f>contacts_heure*nb_heures_jour*nb_jours_prospection</f>
        <v>240</v>
      </c>
      <c r="F35" s="20">
        <f>C17</f>
        <v>275</v>
      </c>
      <c r="G35" s="31">
        <f>F35/E35</f>
        <v>1.1458333333333333</v>
      </c>
      <c r="H35" s="20">
        <f>appels_argumentés/contacts_heure*E35</f>
        <v>80</v>
      </c>
      <c r="I35" s="20">
        <f>D17</f>
        <v>70</v>
      </c>
      <c r="J35" s="31">
        <f>I35/H35</f>
        <v>0.875</v>
      </c>
      <c r="K35" s="20">
        <f>taux_transformation_100_argumentés*H35</f>
        <v>12</v>
      </c>
      <c r="L35" s="20">
        <f>F17</f>
        <v>11</v>
      </c>
      <c r="M35" s="31">
        <f>L35/K35</f>
        <v>0.91666666666666663</v>
      </c>
      <c r="N35" s="24">
        <f>L35/I35</f>
        <v>0.15714285714285714</v>
      </c>
    </row>
    <row r="36" spans="1:14" x14ac:dyDescent="0.25">
      <c r="A36" s="20" t="s">
        <v>92</v>
      </c>
      <c r="B36" s="32">
        <f>nb_Entreprises/5*2</f>
        <v>320</v>
      </c>
      <c r="C36" s="32">
        <f>B18</f>
        <v>310</v>
      </c>
      <c r="D36" s="31">
        <f>C35/B35</f>
        <v>0.9375</v>
      </c>
      <c r="E36" s="20">
        <f>contacts_heure*nb_heures_jour*nb_jours_prospection</f>
        <v>240</v>
      </c>
      <c r="F36" s="20">
        <f>C18</f>
        <v>200</v>
      </c>
      <c r="G36" s="31">
        <f t="shared" ref="G36:G38" si="2">F36/E36</f>
        <v>0.83333333333333337</v>
      </c>
      <c r="H36" s="20">
        <f>appels_argumentés/contacts_heure*E36</f>
        <v>80</v>
      </c>
      <c r="I36" s="20">
        <f>D18</f>
        <v>100</v>
      </c>
      <c r="J36" s="31">
        <f t="shared" ref="J36:J38" si="3">I36/H36</f>
        <v>1.25</v>
      </c>
      <c r="K36" s="20">
        <f>taux_transformation_100_argumentés*H36</f>
        <v>12</v>
      </c>
      <c r="L36" s="20">
        <f>F18</f>
        <v>15</v>
      </c>
      <c r="M36" s="31">
        <f t="shared" ref="M36:M38" si="4">L36/K36</f>
        <v>1.25</v>
      </c>
      <c r="N36" s="24">
        <f t="shared" ref="N36:N38" si="5">L36/I36</f>
        <v>0.15</v>
      </c>
    </row>
    <row r="37" spans="1:14" x14ac:dyDescent="0.25">
      <c r="A37" s="20" t="s">
        <v>93</v>
      </c>
      <c r="B37" s="32">
        <f>nb_Entreprises/5</f>
        <v>160</v>
      </c>
      <c r="C37" s="32">
        <f>B19</f>
        <v>152</v>
      </c>
      <c r="D37" s="31">
        <f>C36/B36</f>
        <v>0.96875</v>
      </c>
      <c r="E37" s="20">
        <f>E36/2</f>
        <v>120</v>
      </c>
      <c r="F37" s="20">
        <f>C19</f>
        <v>120</v>
      </c>
      <c r="G37" s="31">
        <f t="shared" si="2"/>
        <v>1</v>
      </c>
      <c r="H37" s="20">
        <f>appels_argumentés/contacts_heure*E37</f>
        <v>40</v>
      </c>
      <c r="I37" s="20">
        <f>D19</f>
        <v>30</v>
      </c>
      <c r="J37" s="31">
        <f t="shared" si="3"/>
        <v>0.75</v>
      </c>
      <c r="K37" s="20">
        <f>taux_transformation_100_argumentés*H37</f>
        <v>6</v>
      </c>
      <c r="L37" s="20">
        <f>F19</f>
        <v>2.9999999999999996</v>
      </c>
      <c r="M37" s="31">
        <f t="shared" si="4"/>
        <v>0.49999999999999994</v>
      </c>
      <c r="N37" s="24">
        <f t="shared" si="5"/>
        <v>9.9999999999999992E-2</v>
      </c>
    </row>
    <row r="38" spans="1:14" x14ac:dyDescent="0.25">
      <c r="A38" s="20" t="s">
        <v>97</v>
      </c>
      <c r="B38" s="32">
        <f>SUM(B35:B37)</f>
        <v>800</v>
      </c>
      <c r="C38" s="32">
        <f>SUM(C35:C37)</f>
        <v>762</v>
      </c>
      <c r="D38" s="31">
        <f>C37/B37</f>
        <v>0.95</v>
      </c>
      <c r="E38" s="39">
        <f>SUM(E35:E37)</f>
        <v>600</v>
      </c>
      <c r="F38" s="39">
        <f>SUM(F35:F37)</f>
        <v>595</v>
      </c>
      <c r="G38" s="31">
        <f t="shared" si="2"/>
        <v>0.9916666666666667</v>
      </c>
      <c r="H38" s="20">
        <f>SUM(H35:H37)</f>
        <v>200</v>
      </c>
      <c r="I38" s="20">
        <f>SUM(I35:I37)</f>
        <v>200</v>
      </c>
      <c r="J38" s="31">
        <f t="shared" si="3"/>
        <v>1</v>
      </c>
      <c r="K38" s="20">
        <f>SUM(K35:K37)</f>
        <v>30</v>
      </c>
      <c r="L38" s="20">
        <f>SUM(L35:L37)</f>
        <v>29</v>
      </c>
      <c r="M38" s="31">
        <f t="shared" si="4"/>
        <v>0.96666666666666667</v>
      </c>
      <c r="N38" s="24">
        <f t="shared" si="5"/>
        <v>0.14499999999999999</v>
      </c>
    </row>
  </sheetData>
  <mergeCells count="5">
    <mergeCell ref="B33:D33"/>
    <mergeCell ref="E33:G33"/>
    <mergeCell ref="H33:J33"/>
    <mergeCell ref="K33:M33"/>
    <mergeCell ref="N33:N3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tabSelected="1" workbookViewId="0">
      <selection activeCell="F14" sqref="F14"/>
    </sheetView>
  </sheetViews>
  <sheetFormatPr baseColWidth="10" defaultRowHeight="15" x14ac:dyDescent="0.25"/>
  <cols>
    <col min="1" max="1" width="47" customWidth="1"/>
    <col min="5" max="5" width="24.28515625" customWidth="1"/>
  </cols>
  <sheetData>
    <row r="1" spans="1:6" ht="53.45" customHeight="1" x14ac:dyDescent="0.25">
      <c r="A1" s="25"/>
    </row>
    <row r="2" spans="1:6" x14ac:dyDescent="0.25">
      <c r="A2" t="s">
        <v>36</v>
      </c>
      <c r="B2">
        <f>ROUND(142843.369275309,0)</f>
        <v>142843</v>
      </c>
    </row>
    <row r="3" spans="1:6" x14ac:dyDescent="0.25">
      <c r="A3" t="s">
        <v>39</v>
      </c>
      <c r="B3">
        <v>5000</v>
      </c>
      <c r="E3" s="3" t="s">
        <v>38</v>
      </c>
      <c r="F3" s="28">
        <f>B4/B3</f>
        <v>0.4</v>
      </c>
    </row>
    <row r="4" spans="1:6" x14ac:dyDescent="0.25">
      <c r="A4" t="s">
        <v>37</v>
      </c>
      <c r="B4">
        <v>2000</v>
      </c>
      <c r="E4" s="3" t="s">
        <v>40</v>
      </c>
      <c r="F4" s="19">
        <f>B7/B2</f>
        <v>1.2741261384877102E-3</v>
      </c>
    </row>
    <row r="5" spans="1:6" x14ac:dyDescent="0.25">
      <c r="A5" t="s">
        <v>45</v>
      </c>
      <c r="B5">
        <v>300</v>
      </c>
      <c r="E5" s="3" t="s">
        <v>44</v>
      </c>
      <c r="F5" s="3">
        <f>B6</f>
        <v>800</v>
      </c>
    </row>
    <row r="6" spans="1:6" x14ac:dyDescent="0.25">
      <c r="A6" t="s">
        <v>43</v>
      </c>
      <c r="B6">
        <v>800</v>
      </c>
      <c r="E6" s="3" t="s">
        <v>41</v>
      </c>
      <c r="F6" s="3">
        <f>B8</f>
        <v>100</v>
      </c>
    </row>
    <row r="7" spans="1:6" x14ac:dyDescent="0.25">
      <c r="A7" t="s">
        <v>31</v>
      </c>
      <c r="B7">
        <v>182</v>
      </c>
      <c r="E7" s="3" t="s">
        <v>42</v>
      </c>
      <c r="F7" s="3">
        <f>B9</f>
        <v>80</v>
      </c>
    </row>
    <row r="8" spans="1:6" x14ac:dyDescent="0.25">
      <c r="A8" t="s">
        <v>32</v>
      </c>
      <c r="B8">
        <v>100</v>
      </c>
      <c r="E8" s="3" t="s">
        <v>25</v>
      </c>
      <c r="F8" s="19">
        <f>B11/B10</f>
        <v>0.33333333333333331</v>
      </c>
    </row>
    <row r="9" spans="1:6" x14ac:dyDescent="0.25">
      <c r="A9" t="s">
        <v>33</v>
      </c>
      <c r="B9">
        <v>80</v>
      </c>
      <c r="E9" s="3" t="s">
        <v>28</v>
      </c>
      <c r="F9" s="19">
        <f>B12/B11</f>
        <v>0.4</v>
      </c>
    </row>
    <row r="10" spans="1:6" x14ac:dyDescent="0.25">
      <c r="A10" t="s">
        <v>34</v>
      </c>
      <c r="B10">
        <v>75</v>
      </c>
      <c r="E10" s="3" t="s">
        <v>23</v>
      </c>
      <c r="F10" s="19">
        <f>B12/B2</f>
        <v>7.0006930686137932E-5</v>
      </c>
    </row>
    <row r="11" spans="1:6" x14ac:dyDescent="0.25">
      <c r="A11" t="s">
        <v>35</v>
      </c>
      <c r="B11">
        <v>25</v>
      </c>
      <c r="E11" s="3"/>
      <c r="F11" s="3"/>
    </row>
    <row r="12" spans="1:6" x14ac:dyDescent="0.25">
      <c r="A12" t="s">
        <v>4</v>
      </c>
      <c r="B12">
        <v>10</v>
      </c>
      <c r="E12" s="3" t="s">
        <v>0</v>
      </c>
      <c r="F12" s="26">
        <f>B14/B7</f>
        <v>5.4945054945054945</v>
      </c>
    </row>
    <row r="13" spans="1:6" x14ac:dyDescent="0.25">
      <c r="A13" t="s">
        <v>5</v>
      </c>
      <c r="B13" s="1">
        <v>3000</v>
      </c>
      <c r="E13" s="3" t="s">
        <v>1</v>
      </c>
      <c r="F13" s="26">
        <f>B14/B2*1000</f>
        <v>7.0006930686137929</v>
      </c>
    </row>
    <row r="14" spans="1:6" x14ac:dyDescent="0.25">
      <c r="A14" t="s">
        <v>2</v>
      </c>
      <c r="B14" s="1">
        <v>1000</v>
      </c>
      <c r="E14" s="3" t="s">
        <v>6</v>
      </c>
      <c r="F14" s="26">
        <f>B14/B8</f>
        <v>10</v>
      </c>
    </row>
    <row r="15" spans="1:6" x14ac:dyDescent="0.25">
      <c r="E15" s="3" t="s">
        <v>7</v>
      </c>
      <c r="F15" s="27">
        <f>B13/B14</f>
        <v>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showGridLines="0" workbookViewId="0">
      <selection activeCell="E8" sqref="E8"/>
    </sheetView>
  </sheetViews>
  <sheetFormatPr baseColWidth="10" defaultRowHeight="15" x14ac:dyDescent="0.25"/>
  <cols>
    <col min="1" max="1" width="19.42578125" customWidth="1"/>
    <col min="2" max="2" width="36.7109375" customWidth="1"/>
    <col min="5" max="5" width="33.85546875" customWidth="1"/>
  </cols>
  <sheetData>
    <row r="1" spans="1:6" ht="31.9" customHeight="1" thickBot="1" x14ac:dyDescent="0.3">
      <c r="A1" s="10" t="s">
        <v>29</v>
      </c>
      <c r="B1" s="9"/>
    </row>
    <row r="2" spans="1:6" ht="45" customHeight="1" thickBot="1" x14ac:dyDescent="0.3">
      <c r="B2" s="50" t="s">
        <v>12</v>
      </c>
      <c r="C2" s="51"/>
      <c r="E2" s="52" t="s">
        <v>13</v>
      </c>
      <c r="F2" s="53"/>
    </row>
    <row r="3" spans="1:6" x14ac:dyDescent="0.25">
      <c r="B3" s="5" t="s">
        <v>8</v>
      </c>
      <c r="C3" s="7">
        <v>43</v>
      </c>
      <c r="E3" s="5" t="s">
        <v>8</v>
      </c>
      <c r="F3" s="7">
        <v>98</v>
      </c>
    </row>
    <row r="4" spans="1:6" x14ac:dyDescent="0.25">
      <c r="B4" s="5" t="s">
        <v>9</v>
      </c>
      <c r="C4" s="7">
        <v>39</v>
      </c>
      <c r="E4" s="5" t="s">
        <v>9</v>
      </c>
      <c r="F4" s="7">
        <v>94</v>
      </c>
    </row>
    <row r="5" spans="1:6" x14ac:dyDescent="0.25">
      <c r="B5" s="5" t="s">
        <v>10</v>
      </c>
      <c r="C5" s="7">
        <v>32</v>
      </c>
      <c r="E5" s="5" t="s">
        <v>10</v>
      </c>
      <c r="F5" s="7">
        <v>80</v>
      </c>
    </row>
    <row r="6" spans="1:6" ht="28.5" x14ac:dyDescent="0.25">
      <c r="B6" s="5" t="s">
        <v>104</v>
      </c>
      <c r="C6" s="7">
        <v>13</v>
      </c>
      <c r="E6" s="5" t="s">
        <v>104</v>
      </c>
      <c r="F6" s="7">
        <v>60</v>
      </c>
    </row>
    <row r="7" spans="1:6" x14ac:dyDescent="0.25">
      <c r="B7" s="5" t="s">
        <v>11</v>
      </c>
      <c r="C7" s="7">
        <v>7</v>
      </c>
      <c r="E7" s="5" t="s">
        <v>11</v>
      </c>
      <c r="F7" s="7">
        <v>20</v>
      </c>
    </row>
    <row r="8" spans="1:6" ht="15.75" thickBot="1" x14ac:dyDescent="0.3">
      <c r="B8" s="6" t="s">
        <v>4</v>
      </c>
      <c r="C8" s="8">
        <v>3</v>
      </c>
      <c r="E8" s="6" t="s">
        <v>4</v>
      </c>
      <c r="F8" s="8">
        <v>15</v>
      </c>
    </row>
    <row r="12" spans="1:6" ht="21.6" customHeight="1" x14ac:dyDescent="0.25">
      <c r="A12" s="3"/>
      <c r="B12" s="11" t="s">
        <v>17</v>
      </c>
      <c r="C12" s="11" t="s">
        <v>14</v>
      </c>
      <c r="D12" s="11" t="s">
        <v>15</v>
      </c>
    </row>
    <row r="13" spans="1:6" ht="45.6" customHeight="1" x14ac:dyDescent="0.25">
      <c r="A13" s="12" t="s">
        <v>16</v>
      </c>
      <c r="B13" s="11" t="s">
        <v>18</v>
      </c>
      <c r="C13" s="13">
        <f>C4/C3</f>
        <v>0.90697674418604646</v>
      </c>
      <c r="D13" s="13">
        <f>F4/F3</f>
        <v>0.95918367346938771</v>
      </c>
    </row>
    <row r="14" spans="1:6" ht="30.6" customHeight="1" x14ac:dyDescent="0.25">
      <c r="A14" s="12" t="s">
        <v>20</v>
      </c>
      <c r="B14" s="11" t="s">
        <v>19</v>
      </c>
      <c r="C14" s="13">
        <f>C5/C4</f>
        <v>0.82051282051282048</v>
      </c>
      <c r="D14" s="13">
        <f>F5/F4</f>
        <v>0.85106382978723405</v>
      </c>
    </row>
    <row r="15" spans="1:6" ht="30" x14ac:dyDescent="0.25">
      <c r="A15" s="14" t="s">
        <v>21</v>
      </c>
      <c r="B15" s="11" t="s">
        <v>22</v>
      </c>
      <c r="C15" s="15">
        <f>C6/C5</f>
        <v>0.40625</v>
      </c>
      <c r="D15" s="15">
        <f>F6/F5</f>
        <v>0.75</v>
      </c>
    </row>
    <row r="16" spans="1:6" ht="45" x14ac:dyDescent="0.25">
      <c r="A16" s="14" t="s">
        <v>25</v>
      </c>
      <c r="B16" s="11" t="s">
        <v>26</v>
      </c>
      <c r="C16" s="15">
        <f>C7/C5</f>
        <v>0.21875</v>
      </c>
      <c r="D16" s="15">
        <f>F7/F5</f>
        <v>0.25</v>
      </c>
    </row>
    <row r="17" spans="1:4" ht="30" x14ac:dyDescent="0.25">
      <c r="A17" s="14" t="s">
        <v>28</v>
      </c>
      <c r="B17" s="16" t="s">
        <v>27</v>
      </c>
      <c r="C17" s="15">
        <f>C8/C7</f>
        <v>0.42857142857142855</v>
      </c>
      <c r="D17" s="15">
        <f>F8/F7</f>
        <v>0.75</v>
      </c>
    </row>
    <row r="18" spans="1:4" ht="30" x14ac:dyDescent="0.25">
      <c r="A18" s="12" t="s">
        <v>23</v>
      </c>
      <c r="B18" s="11" t="s">
        <v>24</v>
      </c>
      <c r="C18" s="15">
        <f>C8/C4</f>
        <v>7.6923076923076927E-2</v>
      </c>
      <c r="D18" s="15">
        <f>F8/F4</f>
        <v>0.15957446808510639</v>
      </c>
    </row>
  </sheetData>
  <mergeCells count="2">
    <mergeCell ref="B2:C2"/>
    <mergeCell ref="E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Exercice 1</vt:lpstr>
      <vt:lpstr>Exercice 3</vt:lpstr>
      <vt:lpstr>Exercice 4</vt:lpstr>
      <vt:lpstr>Exercice supplémentaire</vt:lpstr>
      <vt:lpstr>qualification_fichier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jean-pierre campcros</dc:creator>
  <cp:lastModifiedBy>SARAIVA-LAFON AURELIE</cp:lastModifiedBy>
  <dcterms:created xsi:type="dcterms:W3CDTF">2021-11-06T17:27:41Z</dcterms:created>
  <dcterms:modified xsi:type="dcterms:W3CDTF">2022-06-14T12:41:43Z</dcterms:modified>
</cp:coreProperties>
</file>