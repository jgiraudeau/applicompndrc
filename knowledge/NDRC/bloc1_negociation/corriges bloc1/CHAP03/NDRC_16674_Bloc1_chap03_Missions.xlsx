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3/"/>
    </mc:Choice>
  </mc:AlternateContent>
  <xr:revisionPtr revIDLastSave="5" documentId="11_2B9D101B3C1077708271578A7F2901CBB96BDDD0" xr6:coauthVersionLast="47" xr6:coauthVersionMax="47" xr10:uidLastSave="{A0E238A6-2B50-4CC8-A78C-19EE0E06D20A}"/>
  <bookViews>
    <workbookView xWindow="25080" yWindow="-120" windowWidth="24240" windowHeight="17640" firstSheet="3" activeTab="4" xr2:uid="{00000000-000D-0000-FFFF-FFFF00000000}"/>
  </bookViews>
  <sheets>
    <sheet name="Mission2-Cons4" sheetId="1" r:id="rId1"/>
    <sheet name="Mission2-Cons4-Corrigé" sheetId="4" r:id="rId2"/>
    <sheet name="Mission3-Cons6 et 7" sheetId="2" r:id="rId3"/>
    <sheet name="Mission3_Consigne6" sheetId="5" r:id="rId4"/>
    <sheet name="Mission3_Consigne7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" l="1"/>
  <c r="E9" i="6" s="1"/>
  <c r="D8" i="6"/>
  <c r="C8" i="6"/>
  <c r="B8" i="6"/>
  <c r="B7" i="6"/>
  <c r="E6" i="6"/>
  <c r="D6" i="6"/>
  <c r="D9" i="6" s="1"/>
  <c r="C6" i="6"/>
  <c r="B6" i="6"/>
  <c r="B9" i="6" s="1"/>
  <c r="C5" i="6"/>
  <c r="E6" i="5"/>
  <c r="B6" i="5"/>
  <c r="B5" i="5"/>
  <c r="E4" i="5"/>
  <c r="C4" i="5"/>
  <c r="C7" i="5" s="1"/>
  <c r="B4" i="5"/>
  <c r="B7" i="5" s="1"/>
  <c r="D4" i="5"/>
  <c r="C6" i="5"/>
  <c r="E6" i="4"/>
  <c r="D6" i="4"/>
  <c r="C6" i="4"/>
  <c r="B6" i="4"/>
  <c r="F6" i="4" s="1"/>
  <c r="C9" i="6" l="1"/>
  <c r="F9" i="6"/>
  <c r="E7" i="5"/>
  <c r="D6" i="5"/>
  <c r="D7" i="5" s="1"/>
  <c r="F7" i="5" s="1"/>
</calcChain>
</file>

<file path=xl/sharedStrings.xml><?xml version="1.0" encoding="utf-8"?>
<sst xmlns="http://schemas.openxmlformats.org/spreadsheetml/2006/main" count="50" uniqueCount="14">
  <si>
    <t>Années</t>
  </si>
  <si>
    <t>N-3</t>
  </si>
  <si>
    <t>N-2</t>
  </si>
  <si>
    <t>N-1</t>
  </si>
  <si>
    <t>N</t>
  </si>
  <si>
    <t>Marge commerciale annuelle</t>
  </si>
  <si>
    <t>Coût d’acquisition</t>
  </si>
  <si>
    <t>Coûts de gestion et de fidélisation</t>
  </si>
  <si>
    <t>Marge nette annuelle</t>
  </si>
  <si>
    <t>N+1</t>
  </si>
  <si>
    <t>N+2</t>
  </si>
  <si>
    <t>N+3</t>
  </si>
  <si>
    <t>Nombre de clients</t>
  </si>
  <si>
    <t>Taux de rétention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</si>
</sst>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"/>
  <sheetViews>
    <sheetView topLeftCell="A4" workbookViewId="0">
      <selection activeCell="H15" sqref="H15"/>
    </sheetView>
  </sheetViews>
  <sheetFormatPr baseColWidth="10" defaultRowHeight="15" x14ac:dyDescent="0.25"/>
  <cols>
    <col min="1" max="1" width="32.85546875" customWidth="1"/>
  </cols>
  <sheetData>
    <row r="2" spans="1:6" ht="16.5" customHeight="1" x14ac:dyDescent="0.25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ht="16.5" customHeight="1" x14ac:dyDescent="0.25">
      <c r="A3" s="1" t="s">
        <v>5</v>
      </c>
      <c r="B3" s="4"/>
      <c r="C3" s="4"/>
      <c r="D3" s="4"/>
      <c r="E3" s="4"/>
    </row>
    <row r="4" spans="1:6" ht="16.5" customHeight="1" x14ac:dyDescent="0.25">
      <c r="A4" s="1" t="s">
        <v>6</v>
      </c>
      <c r="B4" s="4"/>
      <c r="C4" s="4"/>
      <c r="D4" s="4"/>
      <c r="E4" s="4"/>
    </row>
    <row r="5" spans="1:6" ht="16.5" customHeight="1" x14ac:dyDescent="0.25">
      <c r="A5" s="1" t="s">
        <v>7</v>
      </c>
      <c r="B5" s="4"/>
      <c r="C5" s="4"/>
      <c r="D5" s="4"/>
      <c r="E5" s="4"/>
    </row>
    <row r="6" spans="1:6" ht="16.5" customHeight="1" x14ac:dyDescent="0.25">
      <c r="A6" s="1" t="s">
        <v>8</v>
      </c>
      <c r="B6" s="4"/>
      <c r="C6" s="4"/>
      <c r="D6" s="4"/>
      <c r="E6" s="4"/>
      <c r="F6" s="2"/>
    </row>
    <row r="7" spans="1:6" ht="16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6"/>
  <sheetViews>
    <sheetView workbookViewId="0">
      <selection activeCell="E19" sqref="E19"/>
    </sheetView>
  </sheetViews>
  <sheetFormatPr baseColWidth="10" defaultRowHeight="15" x14ac:dyDescent="0.25"/>
  <cols>
    <col min="1" max="1" width="36.140625" customWidth="1"/>
  </cols>
  <sheetData>
    <row r="2" spans="1:6" ht="15.75" x14ac:dyDescent="0.25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6" ht="13.5" customHeight="1" x14ac:dyDescent="0.25">
      <c r="A3" s="5" t="s">
        <v>5</v>
      </c>
      <c r="B3" s="4">
        <v>300</v>
      </c>
      <c r="C3" s="4">
        <v>300</v>
      </c>
      <c r="D3" s="4">
        <v>300</v>
      </c>
      <c r="E3" s="4">
        <v>300</v>
      </c>
    </row>
    <row r="4" spans="1:6" ht="16.5" customHeight="1" x14ac:dyDescent="0.25">
      <c r="A4" s="5" t="s">
        <v>6</v>
      </c>
      <c r="B4" s="4">
        <v>400</v>
      </c>
      <c r="C4" s="4"/>
      <c r="D4" s="4"/>
      <c r="E4" s="4"/>
    </row>
    <row r="5" spans="1:6" ht="15.75" customHeight="1" x14ac:dyDescent="0.25">
      <c r="A5" s="5" t="s">
        <v>7</v>
      </c>
      <c r="B5" s="4">
        <v>100</v>
      </c>
      <c r="C5" s="4">
        <v>100</v>
      </c>
      <c r="D5" s="4">
        <v>100</v>
      </c>
      <c r="E5" s="4">
        <v>100</v>
      </c>
    </row>
    <row r="6" spans="1:6" ht="18" customHeight="1" x14ac:dyDescent="0.25">
      <c r="A6" s="5" t="s">
        <v>8</v>
      </c>
      <c r="B6" s="4">
        <f>B3-B4-B5</f>
        <v>-200</v>
      </c>
      <c r="C6" s="4">
        <f t="shared" ref="C6:E6" si="0">C3-C4-C5</f>
        <v>200</v>
      </c>
      <c r="D6" s="4">
        <f t="shared" si="0"/>
        <v>200</v>
      </c>
      <c r="E6" s="4">
        <f t="shared" si="0"/>
        <v>200</v>
      </c>
      <c r="F6" s="2">
        <f>SUM(B6:E6)</f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"/>
  <sheetViews>
    <sheetView workbookViewId="0">
      <selection activeCell="G6" sqref="G6"/>
    </sheetView>
  </sheetViews>
  <sheetFormatPr baseColWidth="10" defaultRowHeight="15" x14ac:dyDescent="0.25"/>
  <cols>
    <col min="1" max="1" width="34.140625" customWidth="1"/>
  </cols>
  <sheetData>
    <row r="2" spans="1:6" x14ac:dyDescent="0.25">
      <c r="C2" s="6"/>
      <c r="D2" s="6"/>
      <c r="E2" s="6"/>
    </row>
    <row r="3" spans="1:6" ht="16.5" thickBot="1" x14ac:dyDescent="0.3">
      <c r="A3" s="9"/>
      <c r="B3" s="9"/>
      <c r="C3" s="9"/>
      <c r="D3" s="9"/>
      <c r="E3" s="9"/>
    </row>
    <row r="4" spans="1:6" ht="16.5" thickBot="1" x14ac:dyDescent="0.3">
      <c r="A4" s="1" t="s">
        <v>0</v>
      </c>
      <c r="B4" s="8" t="s">
        <v>4</v>
      </c>
      <c r="C4" s="7" t="s">
        <v>9</v>
      </c>
      <c r="D4" s="7" t="s">
        <v>10</v>
      </c>
      <c r="E4" s="7" t="s">
        <v>11</v>
      </c>
    </row>
    <row r="5" spans="1:6" ht="15.75" x14ac:dyDescent="0.25">
      <c r="A5" s="1" t="s">
        <v>12</v>
      </c>
      <c r="B5" s="4"/>
      <c r="C5" s="4"/>
      <c r="D5" s="4"/>
      <c r="E5" s="4"/>
    </row>
    <row r="6" spans="1:6" ht="15.75" x14ac:dyDescent="0.25">
      <c r="A6" s="1" t="s">
        <v>5</v>
      </c>
      <c r="B6" s="4"/>
      <c r="C6" s="4"/>
      <c r="D6" s="4"/>
      <c r="E6" s="4"/>
    </row>
    <row r="7" spans="1:6" ht="15.75" x14ac:dyDescent="0.25">
      <c r="A7" s="1" t="s">
        <v>6</v>
      </c>
      <c r="B7" s="4"/>
      <c r="C7" s="4"/>
      <c r="D7" s="4"/>
      <c r="E7" s="4"/>
    </row>
    <row r="8" spans="1:6" ht="15.75" x14ac:dyDescent="0.25">
      <c r="A8" s="1" t="s">
        <v>7</v>
      </c>
      <c r="B8" s="4"/>
      <c r="C8" s="4"/>
      <c r="D8" s="4"/>
      <c r="E8" s="4"/>
    </row>
    <row r="9" spans="1:6" ht="15.75" x14ac:dyDescent="0.25">
      <c r="A9" s="1" t="s">
        <v>8</v>
      </c>
      <c r="B9" s="4"/>
      <c r="C9" s="4"/>
      <c r="D9" s="4"/>
      <c r="E9" s="4"/>
      <c r="F9" s="2"/>
    </row>
  </sheetData>
  <mergeCells count="1"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A11" sqref="A11"/>
    </sheetView>
  </sheetViews>
  <sheetFormatPr baseColWidth="10" defaultRowHeight="15" x14ac:dyDescent="0.25"/>
  <cols>
    <col min="1" max="1" width="34.140625" customWidth="1"/>
  </cols>
  <sheetData>
    <row r="1" spans="1:6" ht="15.75" thickBot="1" x14ac:dyDescent="0.3">
      <c r="A1" t="s">
        <v>13</v>
      </c>
      <c r="C1" s="6">
        <v>0.8</v>
      </c>
      <c r="D1" s="6">
        <v>0.9</v>
      </c>
      <c r="E1" s="6">
        <v>0.9</v>
      </c>
    </row>
    <row r="2" spans="1:6" ht="16.5" thickBot="1" x14ac:dyDescent="0.3">
      <c r="A2" s="5" t="s">
        <v>0</v>
      </c>
      <c r="B2" s="8" t="s">
        <v>4</v>
      </c>
      <c r="C2" s="7" t="s">
        <v>9</v>
      </c>
      <c r="D2" s="7" t="s">
        <v>10</v>
      </c>
      <c r="E2" s="7" t="s">
        <v>11</v>
      </c>
    </row>
    <row r="3" spans="1:6" ht="19.5" customHeight="1" x14ac:dyDescent="0.25">
      <c r="A3" s="5" t="s">
        <v>12</v>
      </c>
      <c r="B3" s="4">
        <v>100</v>
      </c>
      <c r="C3" s="4">
        <v>80</v>
      </c>
      <c r="D3" s="4">
        <v>72</v>
      </c>
      <c r="E3" s="4">
        <v>65</v>
      </c>
    </row>
    <row r="4" spans="1:6" ht="14.25" customHeight="1" x14ac:dyDescent="0.25">
      <c r="A4" s="5" t="s">
        <v>5</v>
      </c>
      <c r="B4" s="4">
        <f>B3*300</f>
        <v>30000</v>
      </c>
      <c r="C4" s="4">
        <f t="shared" ref="C4:E4" si="0">C3*300</f>
        <v>24000</v>
      </c>
      <c r="D4" s="4">
        <f t="shared" si="0"/>
        <v>21600</v>
      </c>
      <c r="E4" s="4">
        <f t="shared" si="0"/>
        <v>19500</v>
      </c>
    </row>
    <row r="5" spans="1:6" ht="16.5" customHeight="1" x14ac:dyDescent="0.25">
      <c r="A5" s="5" t="s">
        <v>6</v>
      </c>
      <c r="B5" s="4">
        <f>B3*400</f>
        <v>40000</v>
      </c>
      <c r="C5" s="4"/>
      <c r="D5" s="4"/>
      <c r="E5" s="4"/>
    </row>
    <row r="6" spans="1:6" ht="14.25" customHeight="1" x14ac:dyDescent="0.25">
      <c r="A6" s="5" t="s">
        <v>7</v>
      </c>
      <c r="B6" s="4">
        <f>B3*100</f>
        <v>10000</v>
      </c>
      <c r="C6" s="4">
        <f t="shared" ref="C6:E6" si="1">C3*100</f>
        <v>8000</v>
      </c>
      <c r="D6" s="4">
        <f t="shared" si="1"/>
        <v>7200</v>
      </c>
      <c r="E6" s="4">
        <f t="shared" si="1"/>
        <v>6500</v>
      </c>
    </row>
    <row r="7" spans="1:6" ht="14.25" customHeight="1" x14ac:dyDescent="0.25">
      <c r="A7" s="5" t="s">
        <v>8</v>
      </c>
      <c r="B7" s="4">
        <f>B4-B5-B6</f>
        <v>-20000</v>
      </c>
      <c r="C7" s="4">
        <f t="shared" ref="C7:E7" si="2">C4-C5-C6</f>
        <v>16000</v>
      </c>
      <c r="D7" s="4">
        <f t="shared" si="2"/>
        <v>14400</v>
      </c>
      <c r="E7" s="4">
        <f t="shared" si="2"/>
        <v>13000</v>
      </c>
      <c r="F7" s="2">
        <f>SUM(B7:E7)</f>
        <v>23400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"/>
  <sheetViews>
    <sheetView tabSelected="1" workbookViewId="0">
      <selection activeCell="G22" sqref="G22"/>
    </sheetView>
  </sheetViews>
  <sheetFormatPr baseColWidth="10" defaultRowHeight="15" x14ac:dyDescent="0.25"/>
  <cols>
    <col min="1" max="1" width="34.7109375" customWidth="1"/>
  </cols>
  <sheetData>
    <row r="2" spans="1:6" x14ac:dyDescent="0.25">
      <c r="A2" t="s">
        <v>13</v>
      </c>
      <c r="C2" s="6">
        <v>0.9</v>
      </c>
      <c r="D2" s="6">
        <v>0.95</v>
      </c>
      <c r="E2" s="6">
        <v>0.95</v>
      </c>
    </row>
    <row r="3" spans="1:6" ht="16.5" thickBot="1" x14ac:dyDescent="0.3">
      <c r="A3" s="9"/>
      <c r="B3" s="9"/>
      <c r="C3" s="9"/>
      <c r="D3" s="9"/>
      <c r="E3" s="9"/>
    </row>
    <row r="4" spans="1:6" ht="16.5" thickBot="1" x14ac:dyDescent="0.3">
      <c r="A4" s="5" t="s">
        <v>0</v>
      </c>
      <c r="B4" s="8" t="s">
        <v>4</v>
      </c>
      <c r="C4" s="7" t="s">
        <v>9</v>
      </c>
      <c r="D4" s="7" t="s">
        <v>10</v>
      </c>
      <c r="E4" s="7" t="s">
        <v>11</v>
      </c>
    </row>
    <row r="5" spans="1:6" ht="19.5" customHeight="1" x14ac:dyDescent="0.25">
      <c r="A5" s="5" t="s">
        <v>12</v>
      </c>
      <c r="B5" s="4">
        <v>100</v>
      </c>
      <c r="C5" s="4">
        <f>B5*C2</f>
        <v>90</v>
      </c>
      <c r="D5" s="4">
        <v>86</v>
      </c>
      <c r="E5" s="4">
        <v>81</v>
      </c>
    </row>
    <row r="6" spans="1:6" ht="17.25" customHeight="1" x14ac:dyDescent="0.25">
      <c r="A6" s="5" t="s">
        <v>5</v>
      </c>
      <c r="B6" s="4">
        <f>B5*300</f>
        <v>30000</v>
      </c>
      <c r="C6" s="4">
        <f t="shared" ref="C6:E6" si="0">C5*300</f>
        <v>27000</v>
      </c>
      <c r="D6" s="4">
        <f t="shared" si="0"/>
        <v>25800</v>
      </c>
      <c r="E6" s="4">
        <f t="shared" si="0"/>
        <v>24300</v>
      </c>
    </row>
    <row r="7" spans="1:6" ht="17.25" customHeight="1" x14ac:dyDescent="0.25">
      <c r="A7" s="5" t="s">
        <v>6</v>
      </c>
      <c r="B7" s="4">
        <f>B5*400</f>
        <v>40000</v>
      </c>
      <c r="C7" s="4"/>
      <c r="D7" s="4"/>
      <c r="E7" s="4"/>
    </row>
    <row r="8" spans="1:6" ht="17.25" customHeight="1" x14ac:dyDescent="0.25">
      <c r="A8" s="5" t="s">
        <v>7</v>
      </c>
      <c r="B8" s="4">
        <f>B5*120</f>
        <v>12000</v>
      </c>
      <c r="C8" s="4">
        <f t="shared" ref="C8:E8" si="1">C5*120</f>
        <v>10800</v>
      </c>
      <c r="D8" s="4">
        <f t="shared" si="1"/>
        <v>10320</v>
      </c>
      <c r="E8" s="4">
        <f t="shared" si="1"/>
        <v>9720</v>
      </c>
    </row>
    <row r="9" spans="1:6" ht="16.5" customHeight="1" x14ac:dyDescent="0.25">
      <c r="A9" s="5" t="s">
        <v>8</v>
      </c>
      <c r="B9" s="4">
        <f>B6-B7-B8</f>
        <v>-22000</v>
      </c>
      <c r="C9" s="4">
        <f t="shared" ref="C9:E9" si="2">C6-C7-C8</f>
        <v>16200</v>
      </c>
      <c r="D9" s="4">
        <f t="shared" si="2"/>
        <v>15480</v>
      </c>
      <c r="E9" s="4">
        <f t="shared" si="2"/>
        <v>14580</v>
      </c>
      <c r="F9" s="2">
        <f>SUM(B9:E9)</f>
        <v>24260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Mission2-Cons4</vt:lpstr>
      <vt:lpstr>Mission2-Cons4-Corrigé</vt:lpstr>
      <vt:lpstr>Mission3-Cons6 et 7</vt:lpstr>
      <vt:lpstr>Mission3_Consigne6</vt:lpstr>
      <vt:lpstr>Mission3_Consigne7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2018-04-27T15:06:42Z</dcterms:created>
  <dcterms:modified xsi:type="dcterms:W3CDTF">2022-06-13T14:50:04Z</dcterms:modified>
</cp:coreProperties>
</file>