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21/"/>
    </mc:Choice>
  </mc:AlternateContent>
  <xr:revisionPtr revIDLastSave="1" documentId="11_A31DDE858AD633FA372E075BD693341E9D5E1613" xr6:coauthVersionLast="47" xr6:coauthVersionMax="47" xr10:uidLastSave="{883FB262-D7F9-42E6-8FD4-DB28035C90E2}"/>
  <bookViews>
    <workbookView xWindow="28680" yWindow="750" windowWidth="25440" windowHeight="15390" xr2:uid="{00000000-000D-0000-FFFF-FFFF00000000}"/>
  </bookViews>
  <sheets>
    <sheet name="Exercice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6" i="1" s="1"/>
  <c r="D7" i="1"/>
  <c r="D8" i="1"/>
  <c r="D9" i="1"/>
  <c r="D3" i="1"/>
  <c r="C10" i="1"/>
  <c r="B10" i="1"/>
  <c r="D10" i="1" s="1"/>
  <c r="C9" i="1"/>
  <c r="C7" i="1"/>
  <c r="C4" i="1"/>
  <c r="D4" i="1" s="1"/>
  <c r="C3" i="1"/>
  <c r="D11" i="1" l="1"/>
</calcChain>
</file>

<file path=xl/sharedStrings.xml><?xml version="1.0" encoding="utf-8"?>
<sst xmlns="http://schemas.openxmlformats.org/spreadsheetml/2006/main" count="20" uniqueCount="20">
  <si>
    <t>Poste de dépense</t>
  </si>
  <si>
    <t>Montant</t>
  </si>
  <si>
    <t>Invitation</t>
  </si>
  <si>
    <t>Cartons personnalisés</t>
  </si>
  <si>
    <t>Frais d'envoi</t>
  </si>
  <si>
    <t>Buffet</t>
  </si>
  <si>
    <t>nourriture</t>
  </si>
  <si>
    <t>Frais de personnel</t>
  </si>
  <si>
    <t>total</t>
  </si>
  <si>
    <t>Cadeau de bienvenue</t>
  </si>
  <si>
    <t>Coût unitaire</t>
  </si>
  <si>
    <t>Quantité</t>
  </si>
  <si>
    <t>Nombre de personnes</t>
  </si>
  <si>
    <t>Champagne</t>
  </si>
  <si>
    <t>Jus de fruit</t>
  </si>
  <si>
    <t>Nombre de serveurs</t>
  </si>
  <si>
    <t>tarif horaire</t>
  </si>
  <si>
    <t>charges sociales</t>
  </si>
  <si>
    <t>Nombre d'heures travaillées</t>
  </si>
  <si>
    <t>Nombre de bouchées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</si>
</sst>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9" fontId="0" fillId="2" borderId="1" xfId="0" applyNumberForma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33" sqref="C33"/>
    </sheetView>
  </sheetViews>
  <sheetFormatPr baseColWidth="10" defaultRowHeight="15" x14ac:dyDescent="0.25"/>
  <cols>
    <col min="1" max="1" width="21.42578125" customWidth="1"/>
    <col min="2" max="2" width="17.7109375" customWidth="1"/>
    <col min="7" max="7" width="23.28515625" customWidth="1"/>
  </cols>
  <sheetData>
    <row r="1" spans="1:8" x14ac:dyDescent="0.25">
      <c r="A1" s="2" t="s">
        <v>0</v>
      </c>
      <c r="B1" s="2" t="s">
        <v>10</v>
      </c>
      <c r="C1" s="2" t="s">
        <v>11</v>
      </c>
      <c r="D1" s="5" t="s">
        <v>1</v>
      </c>
    </row>
    <row r="2" spans="1:8" x14ac:dyDescent="0.25">
      <c r="A2" s="2" t="s">
        <v>2</v>
      </c>
      <c r="B2" s="3"/>
      <c r="C2" s="3"/>
      <c r="D2" s="2"/>
      <c r="G2" s="1" t="s">
        <v>12</v>
      </c>
      <c r="H2" s="8">
        <v>60</v>
      </c>
    </row>
    <row r="3" spans="1:8" x14ac:dyDescent="0.25">
      <c r="A3" s="4" t="s">
        <v>3</v>
      </c>
      <c r="B3" s="10">
        <v>0.745</v>
      </c>
      <c r="C3" s="3">
        <f>H2</f>
        <v>60</v>
      </c>
      <c r="D3" s="2">
        <f>B3*C3</f>
        <v>44.7</v>
      </c>
      <c r="G3" s="1" t="s">
        <v>19</v>
      </c>
      <c r="H3" s="8">
        <v>6</v>
      </c>
    </row>
    <row r="4" spans="1:8" x14ac:dyDescent="0.25">
      <c r="A4" s="4" t="s">
        <v>4</v>
      </c>
      <c r="B4" s="10">
        <v>1.1599999999999999</v>
      </c>
      <c r="C4" s="3">
        <f>H2</f>
        <v>60</v>
      </c>
      <c r="D4" s="2">
        <f t="shared" ref="D4:D10" si="0">B4*C4</f>
        <v>69.599999999999994</v>
      </c>
      <c r="G4" s="1" t="s">
        <v>15</v>
      </c>
      <c r="H4" s="8">
        <v>2</v>
      </c>
    </row>
    <row r="5" spans="1:8" x14ac:dyDescent="0.25">
      <c r="A5" s="2" t="s">
        <v>5</v>
      </c>
      <c r="B5" s="3"/>
      <c r="C5" s="3"/>
      <c r="D5" s="2"/>
      <c r="G5" s="1" t="s">
        <v>16</v>
      </c>
      <c r="H5" s="8">
        <v>12</v>
      </c>
    </row>
    <row r="6" spans="1:8" x14ac:dyDescent="0.25">
      <c r="A6" s="4" t="s">
        <v>6</v>
      </c>
      <c r="B6" s="10">
        <v>0.45</v>
      </c>
      <c r="C6" s="3">
        <f>H3*H2</f>
        <v>360</v>
      </c>
      <c r="D6" s="2">
        <f t="shared" si="0"/>
        <v>162</v>
      </c>
      <c r="G6" s="1" t="s">
        <v>17</v>
      </c>
      <c r="H6" s="9">
        <v>0.5</v>
      </c>
    </row>
    <row r="7" spans="1:8" x14ac:dyDescent="0.25">
      <c r="A7" s="4" t="s">
        <v>13</v>
      </c>
      <c r="B7" s="10">
        <v>31.95</v>
      </c>
      <c r="C7" s="3">
        <f>H2/5</f>
        <v>12</v>
      </c>
      <c r="D7" s="2">
        <f t="shared" si="0"/>
        <v>383.4</v>
      </c>
      <c r="G7" s="1" t="s">
        <v>18</v>
      </c>
      <c r="H7" s="8">
        <v>6</v>
      </c>
    </row>
    <row r="8" spans="1:8" x14ac:dyDescent="0.25">
      <c r="A8" s="4" t="s">
        <v>14</v>
      </c>
      <c r="B8" s="10">
        <v>2</v>
      </c>
      <c r="C8" s="3">
        <v>15</v>
      </c>
      <c r="D8" s="2">
        <f t="shared" si="0"/>
        <v>30</v>
      </c>
    </row>
    <row r="9" spans="1:8" x14ac:dyDescent="0.25">
      <c r="A9" s="2" t="s">
        <v>9</v>
      </c>
      <c r="B9" s="10">
        <v>14</v>
      </c>
      <c r="C9" s="3">
        <f>H2</f>
        <v>60</v>
      </c>
      <c r="D9" s="2">
        <f t="shared" si="0"/>
        <v>840</v>
      </c>
    </row>
    <row r="10" spans="1:8" x14ac:dyDescent="0.25">
      <c r="A10" s="2" t="s">
        <v>7</v>
      </c>
      <c r="B10" s="3">
        <f>(H5+H5*H6)*H4</f>
        <v>36</v>
      </c>
      <c r="C10" s="3">
        <f>H7</f>
        <v>6</v>
      </c>
      <c r="D10" s="2">
        <f t="shared" si="0"/>
        <v>216</v>
      </c>
    </row>
    <row r="11" spans="1:8" x14ac:dyDescent="0.25">
      <c r="A11" s="6" t="s">
        <v>8</v>
      </c>
      <c r="B11" s="7"/>
      <c r="C11" s="7"/>
      <c r="D11" s="6">
        <f>SUM(D3:D10)</f>
        <v>1745.7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parnet</dc:creator>
  <cp:lastModifiedBy>SARAIVA-LAFON AURELIE</cp:lastModifiedBy>
  <dcterms:created xsi:type="dcterms:W3CDTF">2021-12-29T09:47:35Z</dcterms:created>
  <dcterms:modified xsi:type="dcterms:W3CDTF">2022-06-14T15:26:20Z</dcterms:modified>
</cp:coreProperties>
</file>