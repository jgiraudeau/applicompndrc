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4/"/>
    </mc:Choice>
  </mc:AlternateContent>
  <xr:revisionPtr revIDLastSave="11" documentId="8_{2571AB15-5592-4847-876D-C3959B9F3572}" xr6:coauthVersionLast="47" xr6:coauthVersionMax="47" xr10:uidLastSave="{2B3B1975-AF9D-4BD3-8C6E-D1BF05551826}"/>
  <bookViews>
    <workbookView xWindow="-120" yWindow="-120" windowWidth="25440" windowHeight="15390" tabRatio="887" firstSheet="3" activeTab="9" xr2:uid="{00000000-000D-0000-FFFF-FFFF00000000}"/>
  </bookViews>
  <sheets>
    <sheet name="Mission1_Consigne1" sheetId="9" r:id="rId1"/>
    <sheet name="Mission1_Consigne1_corrigé" sheetId="2" r:id="rId2"/>
    <sheet name="Mission1_Consigne2" sheetId="10" r:id="rId3"/>
    <sheet name="Mission1_Consigne2_corrigé" sheetId="3" r:id="rId4"/>
    <sheet name="Mission2_Consigne4" sheetId="11" r:id="rId5"/>
    <sheet name="Mission2_Consigne4_corrigé" sheetId="4" r:id="rId6"/>
    <sheet name="Mission2_Consigne5" sheetId="12" r:id="rId7"/>
    <sheet name="Mission2_Consigne5_corrigé" sheetId="5" r:id="rId8"/>
    <sheet name="Mission3_Consigne6" sheetId="13" r:id="rId9"/>
    <sheet name="Mission3_Consigne6_Corrigé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6" l="1"/>
  <c r="D7" i="6"/>
  <c r="C7" i="6"/>
  <c r="D6" i="6"/>
  <c r="C6" i="6"/>
  <c r="D5" i="6"/>
  <c r="C5" i="6"/>
  <c r="D4" i="6"/>
  <c r="C4" i="6"/>
  <c r="D3" i="6"/>
  <c r="C3" i="6"/>
  <c r="F4" i="5"/>
  <c r="E4" i="5"/>
  <c r="D4" i="5"/>
  <c r="C4" i="5"/>
  <c r="B7" i="4"/>
  <c r="C6" i="4" s="1"/>
  <c r="B7" i="3"/>
  <c r="C6" i="3"/>
  <c r="C5" i="3"/>
  <c r="C4" i="3"/>
  <c r="C3" i="3"/>
  <c r="C8" i="6" l="1"/>
  <c r="D8" i="6"/>
  <c r="C3" i="4"/>
  <c r="C5" i="4"/>
  <c r="C4" i="4"/>
  <c r="C7" i="3"/>
  <c r="B9" i="3" s="1"/>
  <c r="C7" i="4" l="1"/>
  <c r="D4" i="3"/>
  <c r="E4" i="3" s="1"/>
  <c r="F4" i="3" s="1"/>
  <c r="D5" i="3"/>
  <c r="E5" i="3" s="1"/>
  <c r="F5" i="3" s="1"/>
  <c r="D6" i="3"/>
  <c r="E6" i="3" s="1"/>
  <c r="F6" i="3" s="1"/>
  <c r="D3" i="3"/>
  <c r="D7" i="3" l="1"/>
  <c r="E3" i="3"/>
  <c r="F3" i="3" l="1"/>
  <c r="F7" i="3" s="1"/>
  <c r="B10" i="3" s="1"/>
  <c r="B11" i="3" s="1"/>
  <c r="E7" i="3"/>
</calcChain>
</file>

<file path=xl/sharedStrings.xml><?xml version="1.0" encoding="utf-8"?>
<sst xmlns="http://schemas.openxmlformats.org/spreadsheetml/2006/main" count="62" uniqueCount="31">
  <si>
    <t>Années</t>
  </si>
  <si>
    <t>N-3</t>
  </si>
  <si>
    <t>N-2</t>
  </si>
  <si>
    <t>N-1</t>
  </si>
  <si>
    <t>N</t>
  </si>
  <si>
    <t>N-4</t>
  </si>
  <si>
    <t>Nombre de points de vente par tranche de CA</t>
  </si>
  <si>
    <t>[100-200[</t>
  </si>
  <si>
    <t>[200-300[</t>
  </si>
  <si>
    <t>[300-400[</t>
  </si>
  <si>
    <t>[400-500[</t>
  </si>
  <si>
    <t>[500-600[</t>
  </si>
  <si>
    <t>xi</t>
  </si>
  <si>
    <t>ni</t>
  </si>
  <si>
    <t>ni xi</t>
  </si>
  <si>
    <t>Xi</t>
  </si>
  <si>
    <r>
      <t>Xi</t>
    </r>
    <r>
      <rPr>
        <vertAlign val="superscript"/>
        <sz val="11"/>
        <color theme="1"/>
        <rFont val="Times New Roman"/>
        <family val="1"/>
      </rPr>
      <t xml:space="preserve"> 2</t>
    </r>
  </si>
  <si>
    <r>
      <t>ni Xi</t>
    </r>
    <r>
      <rPr>
        <vertAlign val="superscript"/>
        <sz val="11"/>
        <color theme="1"/>
        <rFont val="Times New Roman"/>
        <family val="1"/>
      </rPr>
      <t xml:space="preserve"> 2</t>
    </r>
  </si>
  <si>
    <t>Totaux</t>
  </si>
  <si>
    <r>
      <t>x</t>
    </r>
    <r>
      <rPr>
        <sz val="11"/>
        <color theme="1"/>
        <rFont val="Calibri"/>
        <family val="2"/>
      </rPr>
      <t>̅</t>
    </r>
  </si>
  <si>
    <t>Variance</t>
  </si>
  <si>
    <t>Ecart type</t>
  </si>
  <si>
    <t>Nombre de points de vente</t>
  </si>
  <si>
    <t>[300-500[</t>
  </si>
  <si>
    <t>Tranches de CA</t>
  </si>
  <si>
    <t>Chiffre d'affaires</t>
  </si>
  <si>
    <t>Taux de croissance</t>
  </si>
  <si>
    <t>yi</t>
  </si>
  <si>
    <r>
      <t>xi</t>
    </r>
    <r>
      <rPr>
        <vertAlign val="superscript"/>
        <sz val="12"/>
        <color theme="1"/>
        <rFont val="Times New Roman"/>
        <family val="1"/>
      </rPr>
      <t>2</t>
    </r>
  </si>
  <si>
    <t>xi yi</t>
  </si>
  <si>
    <t>Répartition des points de vente par tranches de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</si>
</sst>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2"/>
      <color theme="1"/>
      <name val="Symbol"/>
      <family val="1"/>
      <charset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rgb="FFFF0000"/>
      <name val="Symbol"/>
      <family val="1"/>
      <charset val="2"/>
    </font>
    <font>
      <sz val="12"/>
      <color rgb="FFFF0000"/>
      <name val="Calibri"/>
      <family val="2"/>
      <scheme val="minor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165" fontId="3" fillId="0" borderId="5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vertical="center" wrapText="1"/>
    </xf>
    <xf numFmtId="165" fontId="0" fillId="0" borderId="0" xfId="1" applyNumberFormat="1" applyFont="1" applyAlignment="1">
      <alignment horizontal="center"/>
    </xf>
    <xf numFmtId="0" fontId="7" fillId="0" borderId="0" xfId="0" applyFont="1"/>
    <xf numFmtId="166" fontId="7" fillId="0" borderId="1" xfId="2" applyNumberFormat="1" applyFont="1" applyBorder="1" applyAlignment="1">
      <alignment horizontal="center"/>
    </xf>
    <xf numFmtId="9" fontId="7" fillId="0" borderId="1" xfId="2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4" xfId="0" applyNumberFormat="1" applyFont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 wrapText="1"/>
    </xf>
    <xf numFmtId="165" fontId="12" fillId="0" borderId="5" xfId="1" applyNumberFormat="1" applyFont="1" applyBorder="1" applyAlignment="1">
      <alignment vertical="center" wrapText="1"/>
    </xf>
    <xf numFmtId="0" fontId="13" fillId="0" borderId="5" xfId="0" applyNumberFormat="1" applyFont="1" applyBorder="1" applyAlignment="1">
      <alignment horizontal="center" vertical="center" wrapText="1"/>
    </xf>
    <xf numFmtId="165" fontId="13" fillId="0" borderId="5" xfId="1" applyNumberFormat="1" applyFont="1" applyBorder="1" applyAlignment="1">
      <alignment vertical="center" wrapText="1"/>
    </xf>
    <xf numFmtId="165" fontId="10" fillId="0" borderId="0" xfId="1" applyNumberFormat="1" applyFont="1" applyAlignment="1">
      <alignment horizontal="center"/>
    </xf>
    <xf numFmtId="9" fontId="7" fillId="0" borderId="1" xfId="2" applyFont="1" applyBorder="1" applyAlignment="1">
      <alignment horizontal="center"/>
    </xf>
    <xf numFmtId="9" fontId="14" fillId="0" borderId="1" xfId="2" applyNumberFormat="1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9" fontId="14" fillId="0" borderId="0" xfId="2" applyFont="1" applyAlignment="1">
      <alignment horizontal="center"/>
    </xf>
    <xf numFmtId="0" fontId="14" fillId="0" borderId="1" xfId="0" applyFont="1" applyBorder="1" applyAlignment="1">
      <alignment horizontal="center"/>
    </xf>
    <xf numFmtId="166" fontId="14" fillId="0" borderId="1" xfId="2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Mission1_Consigne1_corrigé!$B$2</c:f>
              <c:strCache>
                <c:ptCount val="1"/>
                <c:pt idx="0">
                  <c:v>Nombre de points de vente par tranche de 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Mission1_Consigne1_corrigé!$A$3:$A$7</c:f>
              <c:strCache>
                <c:ptCount val="5"/>
                <c:pt idx="0">
                  <c:v>[100-200[</c:v>
                </c:pt>
                <c:pt idx="1">
                  <c:v>[200-300[</c:v>
                </c:pt>
                <c:pt idx="2">
                  <c:v>[300-400[</c:v>
                </c:pt>
                <c:pt idx="3">
                  <c:v>[400-500[</c:v>
                </c:pt>
                <c:pt idx="4">
                  <c:v>[500-600[</c:v>
                </c:pt>
              </c:strCache>
            </c:strRef>
          </c:cat>
          <c:val>
            <c:numRef>
              <c:f>Mission1_Consigne1_corrigé!$B$3:$B$7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55</c:v>
                </c:pt>
                <c:pt idx="3">
                  <c:v>55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6-4A43-BBD1-C95E54DB1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-27"/>
        <c:axId val="90625536"/>
        <c:axId val="90627072"/>
      </c:barChart>
      <c:catAx>
        <c:axId val="9062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627072"/>
        <c:crosses val="autoZero"/>
        <c:auto val="1"/>
        <c:lblAlgn val="ctr"/>
        <c:lblOffset val="100"/>
        <c:noMultiLvlLbl val="0"/>
      </c:catAx>
      <c:valAx>
        <c:axId val="9062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62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Mission2_Consigne4_corrigé!$C$2</c:f>
              <c:strCache>
                <c:ptCount val="1"/>
                <c:pt idx="0">
                  <c:v>Répartition des points de vente par tranches de CA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768F-4D85-9C07-0635597086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68F-4D85-9C07-0635597086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68F-4D85-9C07-0635597086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68F-4D85-9C07-0635597086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Mission2_Consigne4_corrigé!$A$3:$A$6</c:f>
              <c:strCache>
                <c:ptCount val="4"/>
                <c:pt idx="0">
                  <c:v>[100-200[</c:v>
                </c:pt>
                <c:pt idx="1">
                  <c:v>[200-300[</c:v>
                </c:pt>
                <c:pt idx="2">
                  <c:v>[300-500[</c:v>
                </c:pt>
                <c:pt idx="3">
                  <c:v>[500-600[</c:v>
                </c:pt>
              </c:strCache>
            </c:strRef>
          </c:cat>
          <c:val>
            <c:numRef>
              <c:f>Mission2_Consigne4_corrigé!$C$3:$C$6</c:f>
              <c:numCache>
                <c:formatCode>0%</c:formatCode>
                <c:ptCount val="4"/>
                <c:pt idx="0">
                  <c:v>0.2</c:v>
                </c:pt>
                <c:pt idx="1">
                  <c:v>0.26666666666666666</c:v>
                </c:pt>
                <c:pt idx="2">
                  <c:v>0.36666666666666664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8F-4D85-9C07-063559708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Mission2_Consigne5_corrigé!$A$3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Mission2_Consigne5_corrigé!$B$2:$F$2</c:f>
              <c:strCache>
                <c:ptCount val="5"/>
                <c:pt idx="0">
                  <c:v>N-4</c:v>
                </c:pt>
                <c:pt idx="1">
                  <c:v>N-3</c:v>
                </c:pt>
                <c:pt idx="2">
                  <c:v>N-2</c:v>
                </c:pt>
                <c:pt idx="3">
                  <c:v>N-1</c:v>
                </c:pt>
                <c:pt idx="4">
                  <c:v>N</c:v>
                </c:pt>
              </c:strCache>
            </c:strRef>
          </c:cat>
          <c:val>
            <c:numRef>
              <c:f>Mission2_Consigne5_corrigé!$B$3:$F$3</c:f>
              <c:numCache>
                <c:formatCode>General</c:formatCode>
                <c:ptCount val="5"/>
                <c:pt idx="0">
                  <c:v>1060</c:v>
                </c:pt>
                <c:pt idx="1">
                  <c:v>1100</c:v>
                </c:pt>
                <c:pt idx="2">
                  <c:v>1130</c:v>
                </c:pt>
                <c:pt idx="3">
                  <c:v>1160</c:v>
                </c:pt>
                <c:pt idx="4">
                  <c:v>1190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0-4FF6-B637-E3B9D1372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72032"/>
        <c:axId val="108173568"/>
      </c:lineChart>
      <c:catAx>
        <c:axId val="10817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73568"/>
        <c:crosses val="autoZero"/>
        <c:auto val="1"/>
        <c:lblAlgn val="ctr"/>
        <c:lblOffset val="100"/>
        <c:noMultiLvlLbl val="0"/>
      </c:catAx>
      <c:valAx>
        <c:axId val="10817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7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204787</xdr:colOff>
      <xdr:row>8</xdr:row>
      <xdr:rowOff>109537</xdr:rowOff>
    </xdr:from>
    <xdr:to>
      <xdr:col>3</xdr:col>
      <xdr:colOff>433387</xdr:colOff>
      <xdr:row>22</xdr:row>
      <xdr:rowOff>185737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</xdr:colOff>
      <xdr:row>8</xdr:row>
      <xdr:rowOff>42862</xdr:rowOff>
    </xdr:from>
    <xdr:to>
      <xdr:col>3</xdr:col>
      <xdr:colOff>90487</xdr:colOff>
      <xdr:row>22</xdr:row>
      <xdr:rowOff>119062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7</xdr:row>
      <xdr:rowOff>52387</xdr:rowOff>
    </xdr:from>
    <xdr:to>
      <xdr:col>6</xdr:col>
      <xdr:colOff>528637</xdr:colOff>
      <xdr:row>21</xdr:row>
      <xdr:rowOff>128587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workbookViewId="0">
      <selection activeCell="A3" sqref="A3:A7"/>
    </sheetView>
  </sheetViews>
  <sheetFormatPr baseColWidth="10" defaultRowHeight="15" x14ac:dyDescent="0.25"/>
  <cols>
    <col min="1" max="1" width="25.85546875" customWidth="1"/>
    <col min="2" max="2" width="27.7109375" customWidth="1"/>
  </cols>
  <sheetData>
    <row r="2" spans="1:2" ht="55.5" customHeight="1" x14ac:dyDescent="0.25">
      <c r="A2" s="1" t="s">
        <v>24</v>
      </c>
      <c r="B2" s="1" t="s">
        <v>6</v>
      </c>
    </row>
    <row r="3" spans="1:2" ht="15.75" x14ac:dyDescent="0.25">
      <c r="A3" s="1"/>
      <c r="B3" s="1"/>
    </row>
    <row r="4" spans="1:2" ht="15.75" x14ac:dyDescent="0.25">
      <c r="A4" s="1"/>
      <c r="B4" s="1"/>
    </row>
    <row r="5" spans="1:2" ht="15.75" x14ac:dyDescent="0.25">
      <c r="A5" s="1"/>
      <c r="B5" s="1"/>
    </row>
    <row r="6" spans="1:2" ht="15.75" x14ac:dyDescent="0.25">
      <c r="A6" s="1"/>
      <c r="B6" s="1"/>
    </row>
    <row r="7" spans="1:2" ht="15.75" x14ac:dyDescent="0.25">
      <c r="A7" s="1"/>
      <c r="B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7"/>
  <sheetViews>
    <sheetView workbookViewId="0">
      <selection activeCell="A3" sqref="A3:B7"/>
    </sheetView>
  </sheetViews>
  <sheetFormatPr baseColWidth="10" defaultRowHeight="15" x14ac:dyDescent="0.25"/>
  <cols>
    <col min="1" max="1" width="34.140625" customWidth="1"/>
    <col min="2" max="2" width="19.5703125" customWidth="1"/>
  </cols>
  <sheetData>
    <row r="2" spans="1:2" ht="47.25" x14ac:dyDescent="0.25">
      <c r="A2" s="1" t="s">
        <v>24</v>
      </c>
      <c r="B2" s="1" t="s">
        <v>6</v>
      </c>
    </row>
    <row r="3" spans="1:2" ht="15.75" x14ac:dyDescent="0.25">
      <c r="A3" s="16" t="s">
        <v>7</v>
      </c>
      <c r="B3" s="16">
        <v>60</v>
      </c>
    </row>
    <row r="4" spans="1:2" ht="15.75" x14ac:dyDescent="0.25">
      <c r="A4" s="16" t="s">
        <v>8</v>
      </c>
      <c r="B4" s="16">
        <v>80</v>
      </c>
    </row>
    <row r="5" spans="1:2" ht="15.75" x14ac:dyDescent="0.25">
      <c r="A5" s="16" t="s">
        <v>9</v>
      </c>
      <c r="B5" s="16">
        <v>55</v>
      </c>
    </row>
    <row r="6" spans="1:2" ht="15.75" x14ac:dyDescent="0.25">
      <c r="A6" s="16" t="s">
        <v>10</v>
      </c>
      <c r="B6" s="16">
        <v>55</v>
      </c>
    </row>
    <row r="7" spans="1:2" ht="15.75" x14ac:dyDescent="0.25">
      <c r="A7" s="16" t="s">
        <v>11</v>
      </c>
      <c r="B7" s="16">
        <v>50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B9" sqref="B9:B11"/>
    </sheetView>
  </sheetViews>
  <sheetFormatPr baseColWidth="10" defaultRowHeight="15" x14ac:dyDescent="0.25"/>
  <cols>
    <col min="1" max="1" width="23" customWidth="1"/>
    <col min="2" max="2" width="14.85546875" customWidth="1"/>
    <col min="3" max="3" width="14.5703125" customWidth="1"/>
    <col min="4" max="4" width="14" customWidth="1"/>
    <col min="5" max="5" width="17.85546875" customWidth="1"/>
    <col min="6" max="6" width="18.85546875" customWidth="1"/>
  </cols>
  <sheetData>
    <row r="1" spans="1:6" ht="15.75" thickBot="1" x14ac:dyDescent="0.3"/>
    <row r="2" spans="1:6" ht="18.75" thickBot="1" x14ac:dyDescent="0.3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</row>
    <row r="3" spans="1:6" ht="16.5" thickBot="1" x14ac:dyDescent="0.3">
      <c r="A3" s="5"/>
      <c r="B3" s="7"/>
      <c r="C3" s="8"/>
      <c r="D3" s="8"/>
      <c r="E3" s="8"/>
      <c r="F3" s="8"/>
    </row>
    <row r="4" spans="1:6" ht="16.5" thickBot="1" x14ac:dyDescent="0.3">
      <c r="A4" s="5"/>
      <c r="B4" s="7"/>
      <c r="C4" s="8"/>
      <c r="D4" s="8"/>
      <c r="E4" s="8"/>
      <c r="F4" s="8"/>
    </row>
    <row r="5" spans="1:6" ht="16.5" thickBot="1" x14ac:dyDescent="0.3">
      <c r="A5" s="5"/>
      <c r="B5" s="7"/>
      <c r="C5" s="8"/>
      <c r="D5" s="8"/>
      <c r="E5" s="8"/>
      <c r="F5" s="8"/>
    </row>
    <row r="6" spans="1:6" ht="16.5" thickBot="1" x14ac:dyDescent="0.3">
      <c r="A6" s="5"/>
      <c r="B6" s="7"/>
      <c r="C6" s="8"/>
      <c r="D6" s="8"/>
      <c r="E6" s="8"/>
      <c r="F6" s="8"/>
    </row>
    <row r="7" spans="1:6" ht="16.5" thickBot="1" x14ac:dyDescent="0.3">
      <c r="A7" s="5"/>
      <c r="B7" s="6"/>
      <c r="C7" s="9"/>
      <c r="D7" s="9"/>
      <c r="E7" s="9"/>
      <c r="F7" s="9"/>
    </row>
    <row r="8" spans="1:6" x14ac:dyDescent="0.25">
      <c r="B8" s="2"/>
    </row>
    <row r="9" spans="1:6" x14ac:dyDescent="0.25">
      <c r="A9" t="s">
        <v>19</v>
      </c>
      <c r="B9" s="10"/>
    </row>
    <row r="10" spans="1:6" x14ac:dyDescent="0.25">
      <c r="A10" t="s">
        <v>20</v>
      </c>
      <c r="B10" s="10"/>
    </row>
    <row r="11" spans="1:6" x14ac:dyDescent="0.25">
      <c r="A11" t="s">
        <v>21</v>
      </c>
      <c r="B1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E22" sqref="E22"/>
    </sheetView>
  </sheetViews>
  <sheetFormatPr baseColWidth="10" defaultRowHeight="15" x14ac:dyDescent="0.25"/>
  <cols>
    <col min="1" max="1" width="34.42578125" customWidth="1"/>
    <col min="2" max="2" width="12.85546875" style="2" bestFit="1" customWidth="1"/>
    <col min="3" max="3" width="14.5703125" bestFit="1" customWidth="1"/>
    <col min="4" max="4" width="13.28515625" bestFit="1" customWidth="1"/>
    <col min="5" max="5" width="15.85546875" bestFit="1" customWidth="1"/>
    <col min="6" max="6" width="19.28515625" bestFit="1" customWidth="1"/>
  </cols>
  <sheetData>
    <row r="1" spans="1:6" ht="15.75" thickBot="1" x14ac:dyDescent="0.3"/>
    <row r="2" spans="1:6" ht="18.75" thickBot="1" x14ac:dyDescent="0.3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</row>
    <row r="3" spans="1:6" ht="16.5" thickBot="1" x14ac:dyDescent="0.3">
      <c r="A3" s="17">
        <v>150</v>
      </c>
      <c r="B3" s="18">
        <v>60</v>
      </c>
      <c r="C3" s="19">
        <f>A3*B3</f>
        <v>9000</v>
      </c>
      <c r="D3" s="19">
        <f>A3-$B$9</f>
        <v>-185</v>
      </c>
      <c r="E3" s="19">
        <f>D3*D3</f>
        <v>34225</v>
      </c>
      <c r="F3" s="19">
        <f>E3*B3</f>
        <v>2053500</v>
      </c>
    </row>
    <row r="4" spans="1:6" ht="16.5" thickBot="1" x14ac:dyDescent="0.3">
      <c r="A4" s="17">
        <v>250</v>
      </c>
      <c r="B4" s="18">
        <v>80</v>
      </c>
      <c r="C4" s="19">
        <f t="shared" ref="C4:C6" si="0">A4*B4</f>
        <v>20000</v>
      </c>
      <c r="D4" s="19">
        <f>A4-$B$9</f>
        <v>-85</v>
      </c>
      <c r="E4" s="19">
        <f t="shared" ref="E4:E6" si="1">D4*D4</f>
        <v>7225</v>
      </c>
      <c r="F4" s="19">
        <f t="shared" ref="F4:F6" si="2">E4*B4</f>
        <v>578000</v>
      </c>
    </row>
    <row r="5" spans="1:6" ht="16.5" thickBot="1" x14ac:dyDescent="0.3">
      <c r="A5" s="17">
        <v>400</v>
      </c>
      <c r="B5" s="18">
        <v>110</v>
      </c>
      <c r="C5" s="19">
        <f t="shared" si="0"/>
        <v>44000</v>
      </c>
      <c r="D5" s="19">
        <f>A5-$B$9</f>
        <v>65</v>
      </c>
      <c r="E5" s="19">
        <f t="shared" si="1"/>
        <v>4225</v>
      </c>
      <c r="F5" s="19">
        <f t="shared" si="2"/>
        <v>464750</v>
      </c>
    </row>
    <row r="6" spans="1:6" ht="16.5" thickBot="1" x14ac:dyDescent="0.3">
      <c r="A6" s="17">
        <v>550</v>
      </c>
      <c r="B6" s="18">
        <v>50</v>
      </c>
      <c r="C6" s="19">
        <f t="shared" si="0"/>
        <v>27500</v>
      </c>
      <c r="D6" s="19">
        <f>A6-$B$9</f>
        <v>215</v>
      </c>
      <c r="E6" s="19">
        <f t="shared" si="1"/>
        <v>46225</v>
      </c>
      <c r="F6" s="19">
        <f t="shared" si="2"/>
        <v>2311250</v>
      </c>
    </row>
    <row r="7" spans="1:6" ht="16.5" thickBot="1" x14ac:dyDescent="0.3">
      <c r="A7" s="5" t="s">
        <v>18</v>
      </c>
      <c r="B7" s="20">
        <f>SUM(B3:B6)</f>
        <v>300</v>
      </c>
      <c r="C7" s="21">
        <f t="shared" ref="C7:F7" si="3">SUM(C3:C6)</f>
        <v>100500</v>
      </c>
      <c r="D7" s="21">
        <f t="shared" si="3"/>
        <v>10</v>
      </c>
      <c r="E7" s="21">
        <f t="shared" si="3"/>
        <v>91900</v>
      </c>
      <c r="F7" s="21">
        <f t="shared" si="3"/>
        <v>5407500</v>
      </c>
    </row>
    <row r="9" spans="1:6" x14ac:dyDescent="0.25">
      <c r="A9" t="s">
        <v>19</v>
      </c>
      <c r="B9" s="22">
        <f>C7/B7</f>
        <v>335</v>
      </c>
    </row>
    <row r="10" spans="1:6" x14ac:dyDescent="0.25">
      <c r="A10" t="s">
        <v>20</v>
      </c>
      <c r="B10" s="22">
        <f>F7/B7</f>
        <v>18025</v>
      </c>
    </row>
    <row r="11" spans="1:6" x14ac:dyDescent="0.25">
      <c r="A11" t="s">
        <v>21</v>
      </c>
      <c r="B11" s="22">
        <f>SQRT(B10)</f>
        <v>134.25721582097552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7"/>
  <sheetViews>
    <sheetView workbookViewId="0">
      <selection activeCell="D12" sqref="D12"/>
    </sheetView>
  </sheetViews>
  <sheetFormatPr baseColWidth="10" defaultRowHeight="15" x14ac:dyDescent="0.25"/>
  <cols>
    <col min="1" max="1" width="17.28515625" customWidth="1"/>
    <col min="2" max="2" width="18" customWidth="1"/>
    <col min="3" max="3" width="21.7109375" customWidth="1"/>
  </cols>
  <sheetData>
    <row r="2" spans="1:3" ht="47.25" x14ac:dyDescent="0.25">
      <c r="A2" s="1" t="s">
        <v>24</v>
      </c>
      <c r="B2" s="1" t="s">
        <v>22</v>
      </c>
      <c r="C2" s="1" t="s">
        <v>30</v>
      </c>
    </row>
    <row r="3" spans="1:3" ht="15.75" x14ac:dyDescent="0.25">
      <c r="A3" s="1"/>
      <c r="B3" s="1"/>
      <c r="C3" s="13"/>
    </row>
    <row r="4" spans="1:3" ht="15.75" x14ac:dyDescent="0.25">
      <c r="A4" s="1"/>
      <c r="B4" s="1"/>
      <c r="C4" s="13"/>
    </row>
    <row r="5" spans="1:3" ht="15.75" x14ac:dyDescent="0.25">
      <c r="A5" s="1"/>
      <c r="B5" s="1"/>
      <c r="C5" s="13"/>
    </row>
    <row r="6" spans="1:3" ht="15.75" x14ac:dyDescent="0.25">
      <c r="A6" s="1"/>
      <c r="B6" s="1"/>
      <c r="C6" s="13"/>
    </row>
    <row r="7" spans="1:3" ht="15.75" x14ac:dyDescent="0.25">
      <c r="A7" s="11"/>
      <c r="B7" s="14"/>
      <c r="C7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7"/>
  <sheetViews>
    <sheetView workbookViewId="0">
      <selection activeCell="E26" sqref="E26"/>
    </sheetView>
  </sheetViews>
  <sheetFormatPr baseColWidth="10" defaultRowHeight="15" x14ac:dyDescent="0.25"/>
  <cols>
    <col min="1" max="1" width="27.85546875" customWidth="1"/>
    <col min="2" max="3" width="20" customWidth="1"/>
  </cols>
  <sheetData>
    <row r="2" spans="1:4" ht="54" customHeight="1" x14ac:dyDescent="0.25">
      <c r="A2" s="1" t="s">
        <v>24</v>
      </c>
      <c r="B2" s="1" t="s">
        <v>22</v>
      </c>
      <c r="C2" s="1" t="s">
        <v>30</v>
      </c>
      <c r="D2" s="11"/>
    </row>
    <row r="3" spans="1:4" ht="15.75" x14ac:dyDescent="0.25">
      <c r="A3" s="16" t="s">
        <v>7</v>
      </c>
      <c r="B3" s="16">
        <v>60</v>
      </c>
      <c r="C3" s="24">
        <f>B3/$B$7</f>
        <v>0.2</v>
      </c>
      <c r="D3" s="11"/>
    </row>
    <row r="4" spans="1:4" ht="15.75" x14ac:dyDescent="0.25">
      <c r="A4" s="16" t="s">
        <v>8</v>
      </c>
      <c r="B4" s="16">
        <v>80</v>
      </c>
      <c r="C4" s="24">
        <f t="shared" ref="C4:C6" si="0">B4/$B$7</f>
        <v>0.26666666666666666</v>
      </c>
      <c r="D4" s="11"/>
    </row>
    <row r="5" spans="1:4" ht="15.75" x14ac:dyDescent="0.25">
      <c r="A5" s="16" t="s">
        <v>23</v>
      </c>
      <c r="B5" s="16">
        <v>110</v>
      </c>
      <c r="C5" s="24">
        <f t="shared" si="0"/>
        <v>0.36666666666666664</v>
      </c>
      <c r="D5" s="11"/>
    </row>
    <row r="6" spans="1:4" ht="15.75" x14ac:dyDescent="0.25">
      <c r="A6" s="16" t="s">
        <v>11</v>
      </c>
      <c r="B6" s="16">
        <v>50</v>
      </c>
      <c r="C6" s="24">
        <f t="shared" si="0"/>
        <v>0.16666666666666666</v>
      </c>
      <c r="D6" s="11"/>
    </row>
    <row r="7" spans="1:4" ht="15.75" x14ac:dyDescent="0.25">
      <c r="A7" s="25"/>
      <c r="B7" s="26">
        <f>SUM(B3:B6)</f>
        <v>300</v>
      </c>
      <c r="C7" s="27">
        <f>SUM(C3:C6)</f>
        <v>0.99999999999999989</v>
      </c>
      <c r="D7" s="11"/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4"/>
  <sheetViews>
    <sheetView workbookViewId="0">
      <selection activeCell="B3" sqref="B3:F4"/>
    </sheetView>
  </sheetViews>
  <sheetFormatPr baseColWidth="10" defaultRowHeight="15" x14ac:dyDescent="0.25"/>
  <cols>
    <col min="1" max="1" width="18.5703125" customWidth="1"/>
  </cols>
  <sheetData>
    <row r="2" spans="1:6" ht="15.75" x14ac:dyDescent="0.25">
      <c r="A2" s="1" t="s">
        <v>0</v>
      </c>
      <c r="B2" s="1" t="s">
        <v>5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5.75" x14ac:dyDescent="0.25">
      <c r="A3" s="1" t="s">
        <v>25</v>
      </c>
      <c r="B3" s="1"/>
      <c r="C3" s="1"/>
      <c r="D3" s="1"/>
      <c r="E3" s="1"/>
      <c r="F3" s="1"/>
    </row>
    <row r="4" spans="1:6" ht="15.75" x14ac:dyDescent="0.25">
      <c r="A4" s="14" t="s">
        <v>26</v>
      </c>
      <c r="B4" s="14"/>
      <c r="C4" s="12"/>
      <c r="D4" s="12"/>
      <c r="E4" s="12"/>
      <c r="F4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4"/>
  <sheetViews>
    <sheetView workbookViewId="0">
      <selection activeCell="B3" sqref="B3:F4"/>
    </sheetView>
  </sheetViews>
  <sheetFormatPr baseColWidth="10" defaultRowHeight="15" x14ac:dyDescent="0.25"/>
  <cols>
    <col min="1" max="1" width="24.7109375" customWidth="1"/>
  </cols>
  <sheetData>
    <row r="2" spans="1:6" ht="15.75" x14ac:dyDescent="0.25">
      <c r="A2" s="1" t="s">
        <v>0</v>
      </c>
      <c r="B2" s="1" t="s">
        <v>5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15.75" x14ac:dyDescent="0.25">
      <c r="A3" s="1" t="s">
        <v>25</v>
      </c>
      <c r="B3" s="16">
        <v>1060</v>
      </c>
      <c r="C3" s="16">
        <v>1100</v>
      </c>
      <c r="D3" s="16">
        <v>1130</v>
      </c>
      <c r="E3" s="16">
        <v>1160</v>
      </c>
      <c r="F3" s="16">
        <v>1190</v>
      </c>
    </row>
    <row r="4" spans="1:6" ht="15.75" x14ac:dyDescent="0.25">
      <c r="A4" s="14" t="s">
        <v>26</v>
      </c>
      <c r="B4" s="28"/>
      <c r="C4" s="29">
        <f>C3/B3-1</f>
        <v>3.7735849056603765E-2</v>
      </c>
      <c r="D4" s="29">
        <f t="shared" ref="D4:F4" si="0">D3/C3-1</f>
        <v>2.7272727272727337E-2</v>
      </c>
      <c r="E4" s="29">
        <f t="shared" si="0"/>
        <v>2.6548672566371723E-2</v>
      </c>
      <c r="F4" s="29">
        <f t="shared" si="0"/>
        <v>2.5862068965517349E-2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D8"/>
  <sheetViews>
    <sheetView workbookViewId="0">
      <selection activeCell="A3" sqref="A3:D8"/>
    </sheetView>
  </sheetViews>
  <sheetFormatPr baseColWidth="10" defaultRowHeight="15" x14ac:dyDescent="0.25"/>
  <cols>
    <col min="1" max="1" width="14.28515625" customWidth="1"/>
    <col min="2" max="2" width="14.42578125" customWidth="1"/>
    <col min="3" max="3" width="13.85546875" customWidth="1"/>
    <col min="4" max="4" width="14" customWidth="1"/>
  </cols>
  <sheetData>
    <row r="2" spans="1:4" ht="18.75" x14ac:dyDescent="0.25">
      <c r="A2" s="1" t="s">
        <v>12</v>
      </c>
      <c r="B2" s="1" t="s">
        <v>27</v>
      </c>
      <c r="C2" s="1" t="s">
        <v>28</v>
      </c>
      <c r="D2" s="1" t="s">
        <v>29</v>
      </c>
    </row>
    <row r="3" spans="1:4" ht="15.75" x14ac:dyDescent="0.25">
      <c r="A3" s="1"/>
      <c r="B3" s="1"/>
      <c r="C3" s="1"/>
      <c r="D3" s="1"/>
    </row>
    <row r="4" spans="1:4" ht="15.75" x14ac:dyDescent="0.25">
      <c r="A4" s="1"/>
      <c r="B4" s="1"/>
      <c r="C4" s="1"/>
      <c r="D4" s="1"/>
    </row>
    <row r="5" spans="1:4" ht="15.75" x14ac:dyDescent="0.25">
      <c r="A5" s="1"/>
      <c r="B5" s="1"/>
      <c r="C5" s="1"/>
      <c r="D5" s="1"/>
    </row>
    <row r="6" spans="1:4" ht="15.75" x14ac:dyDescent="0.25">
      <c r="A6" s="1"/>
      <c r="B6" s="1"/>
      <c r="C6" s="1"/>
      <c r="D6" s="1"/>
    </row>
    <row r="7" spans="1:4" ht="15.75" x14ac:dyDescent="0.25">
      <c r="A7" s="1"/>
      <c r="B7" s="1"/>
      <c r="C7" s="1"/>
      <c r="D7" s="1"/>
    </row>
    <row r="8" spans="1:4" ht="15.75" x14ac:dyDescent="0.25">
      <c r="A8" s="15"/>
      <c r="B8" s="15"/>
      <c r="C8" s="15"/>
      <c r="D8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8"/>
  <sheetViews>
    <sheetView tabSelected="1" workbookViewId="0">
      <selection activeCell="G35" sqref="G35"/>
    </sheetView>
  </sheetViews>
  <sheetFormatPr baseColWidth="10" defaultRowHeight="15" x14ac:dyDescent="0.25"/>
  <sheetData>
    <row r="2" spans="1:4" ht="18.75" x14ac:dyDescent="0.25">
      <c r="A2" s="1" t="s">
        <v>12</v>
      </c>
      <c r="B2" s="1" t="s">
        <v>27</v>
      </c>
      <c r="C2" s="1" t="s">
        <v>28</v>
      </c>
      <c r="D2" s="1" t="s">
        <v>29</v>
      </c>
    </row>
    <row r="3" spans="1:4" ht="15.75" x14ac:dyDescent="0.25">
      <c r="A3" s="16">
        <v>1</v>
      </c>
      <c r="B3" s="16">
        <v>1060</v>
      </c>
      <c r="C3" s="16">
        <f>A3*A3</f>
        <v>1</v>
      </c>
      <c r="D3" s="16">
        <f>A3*B3</f>
        <v>1060</v>
      </c>
    </row>
    <row r="4" spans="1:4" ht="15.75" x14ac:dyDescent="0.25">
      <c r="A4" s="16">
        <v>2</v>
      </c>
      <c r="B4" s="16">
        <v>1100</v>
      </c>
      <c r="C4" s="16">
        <f t="shared" ref="C4:C7" si="0">A4*A4</f>
        <v>4</v>
      </c>
      <c r="D4" s="16">
        <f t="shared" ref="D4:D7" si="1">A4*B4</f>
        <v>2200</v>
      </c>
    </row>
    <row r="5" spans="1:4" ht="15.75" x14ac:dyDescent="0.25">
      <c r="A5" s="16">
        <v>3</v>
      </c>
      <c r="B5" s="16">
        <v>1130</v>
      </c>
      <c r="C5" s="16">
        <f t="shared" si="0"/>
        <v>9</v>
      </c>
      <c r="D5" s="16">
        <f t="shared" si="1"/>
        <v>3390</v>
      </c>
    </row>
    <row r="6" spans="1:4" ht="15.75" x14ac:dyDescent="0.25">
      <c r="A6" s="16">
        <v>4</v>
      </c>
      <c r="B6" s="16">
        <v>1160</v>
      </c>
      <c r="C6" s="16">
        <f t="shared" si="0"/>
        <v>16</v>
      </c>
      <c r="D6" s="16">
        <f t="shared" si="1"/>
        <v>4640</v>
      </c>
    </row>
    <row r="7" spans="1:4" ht="15.75" x14ac:dyDescent="0.25">
      <c r="A7" s="16">
        <v>5</v>
      </c>
      <c r="B7" s="16">
        <v>1190</v>
      </c>
      <c r="C7" s="16">
        <f t="shared" si="0"/>
        <v>25</v>
      </c>
      <c r="D7" s="16">
        <f t="shared" si="1"/>
        <v>5950</v>
      </c>
    </row>
    <row r="8" spans="1:4" ht="15.75" x14ac:dyDescent="0.25">
      <c r="A8" s="30">
        <v>15</v>
      </c>
      <c r="B8" s="30">
        <f>SUM(B3:B7)</f>
        <v>5640</v>
      </c>
      <c r="C8" s="30">
        <f t="shared" ref="C8:D8" si="2">SUM(C3:C7)</f>
        <v>55</v>
      </c>
      <c r="D8" s="30">
        <f t="shared" si="2"/>
        <v>17240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Mission1_Consigne1</vt:lpstr>
      <vt:lpstr>Mission1_Consigne1_corrigé</vt:lpstr>
      <vt:lpstr>Mission1_Consigne2</vt:lpstr>
      <vt:lpstr>Mission1_Consigne2_corrigé</vt:lpstr>
      <vt:lpstr>Mission2_Consigne4</vt:lpstr>
      <vt:lpstr>Mission2_Consigne4_corrigé</vt:lpstr>
      <vt:lpstr>Mission2_Consigne5</vt:lpstr>
      <vt:lpstr>Mission2_Consigne5_corrigé</vt:lpstr>
      <vt:lpstr>Mission3_Consigne6</vt:lpstr>
      <vt:lpstr>Mission3_Consigne6_Corrigé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SARAIVA-LAFON AURELIE</cp:lastModifiedBy>
  <dcterms:created xsi:type="dcterms:W3CDTF">2018-04-27T15:06:42Z</dcterms:created>
  <dcterms:modified xsi:type="dcterms:W3CDTF">2022-06-13T15:02:03Z</dcterms:modified>
</cp:coreProperties>
</file>