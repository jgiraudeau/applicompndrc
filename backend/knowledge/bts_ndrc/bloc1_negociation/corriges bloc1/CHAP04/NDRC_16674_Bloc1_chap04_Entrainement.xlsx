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26"/>
  <workbookPr/>
  <mc:AlternateContent xmlns:mc="http://schemas.openxmlformats.org/markup-compatibility/2006">
    <mc:Choice Requires="x15">
      <x15ac:absPath xmlns:x15ac="http://schemas.microsoft.com/office/spreadsheetml/2010/11/ac" url="https://hachette-my.sharepoint.com/personal/asaraivalafon_editions-foucher_fr/Documents/Desktop/Guides pédago revus par Chloé/CHAP04/"/>
    </mc:Choice>
  </mc:AlternateContent>
  <xr:revisionPtr revIDLastSave="3" documentId="11_C16719ED7A41C6798AC80A78CC3AF195F347757C" xr6:coauthVersionLast="47" xr6:coauthVersionMax="47" xr10:uidLastSave="{9F507DBF-7F1A-4D08-AF29-99D1F51CA809}"/>
  <bookViews>
    <workbookView xWindow="-120" yWindow="-120" windowWidth="25440" windowHeight="15390" tabRatio="880" firstSheet="19" activeTab="21" xr2:uid="{00000000-000D-0000-FFFF-FFFF00000000}"/>
  </bookViews>
  <sheets>
    <sheet name="Exercice1-Question1" sheetId="9" r:id="rId1"/>
    <sheet name="Exercice1-Question1-corrigé" sheetId="1" r:id="rId2"/>
    <sheet name="Exercice2-Question3" sheetId="10" r:id="rId3"/>
    <sheet name="Exercice2-Question3-corrigé" sheetId="2" r:id="rId4"/>
    <sheet name="Exercice3-Question1" sheetId="11" r:id="rId5"/>
    <sheet name="Exercice3-Question1-corrigé" sheetId="3" r:id="rId6"/>
    <sheet name="Exercice4-Question1" sheetId="12" r:id="rId7"/>
    <sheet name="Exercice4-Question1-corrigé" sheetId="4" r:id="rId8"/>
    <sheet name="Exercice6-Question1" sheetId="13" r:id="rId9"/>
    <sheet name="Exercice6-Question1-corrigé" sheetId="5" r:id="rId10"/>
    <sheet name="Exercice6-Question2" sheetId="14" r:id="rId11"/>
    <sheet name="Exercice6-Question2-corrigé" sheetId="6" r:id="rId12"/>
    <sheet name="Exercice7-Question4" sheetId="18" r:id="rId13"/>
    <sheet name="Exercice7-Question4-corrigé" sheetId="17" r:id="rId14"/>
    <sheet name="Exercice8-Question1" sheetId="20" r:id="rId15"/>
    <sheet name="Exercice8-Question1-corrigé" sheetId="19" r:id="rId16"/>
    <sheet name="Exercice9-Questions1-2" sheetId="22" r:id="rId17"/>
    <sheet name="Exercice9-Questions1-2-corrigé" sheetId="21" r:id="rId18"/>
    <sheet name="Exercice10-Question1" sheetId="16" r:id="rId19"/>
    <sheet name="Exercice10_Consigne1_corrigé" sheetId="8" r:id="rId20"/>
    <sheet name="Exercice11_Consigne2" sheetId="15" r:id="rId21"/>
    <sheet name="Exercice11_Consigne2_corrigé" sheetId="7" r:id="rId2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20" i="21" l="1"/>
  <c r="D20" i="21"/>
  <c r="C21" i="21"/>
  <c r="D21" i="21"/>
  <c r="C22" i="21"/>
  <c r="C26" i="21" s="1"/>
  <c r="D22" i="21"/>
  <c r="C23" i="21"/>
  <c r="D23" i="21"/>
  <c r="D26" i="21" s="1"/>
  <c r="C24" i="21"/>
  <c r="D24" i="21"/>
  <c r="C25" i="21"/>
  <c r="D25" i="21"/>
  <c r="A26" i="21"/>
  <c r="B28" i="21" s="1"/>
  <c r="B26" i="21"/>
  <c r="B29" i="21" s="1"/>
  <c r="B12" i="19"/>
  <c r="B15" i="19" s="1"/>
  <c r="A12" i="19"/>
  <c r="B14" i="19" s="1"/>
  <c r="D3" i="19"/>
  <c r="D12" i="19" s="1"/>
  <c r="D4" i="19"/>
  <c r="D5" i="19"/>
  <c r="D6" i="19"/>
  <c r="D7" i="19"/>
  <c r="D8" i="19"/>
  <c r="D9" i="19"/>
  <c r="D10" i="19"/>
  <c r="C3" i="19"/>
  <c r="C12" i="19" s="1"/>
  <c r="C4" i="19"/>
  <c r="C5" i="19"/>
  <c r="C6" i="19"/>
  <c r="C7" i="19"/>
  <c r="C8" i="19"/>
  <c r="C9" i="19"/>
  <c r="C10" i="19"/>
  <c r="D11" i="19"/>
  <c r="C11" i="19"/>
  <c r="B7" i="17"/>
  <c r="B10" i="17" s="1"/>
  <c r="A7" i="17"/>
  <c r="B9" i="17" s="1"/>
  <c r="D6" i="17"/>
  <c r="C6" i="17"/>
  <c r="D5" i="17"/>
  <c r="C5" i="17"/>
  <c r="D4" i="17"/>
  <c r="C4" i="17"/>
  <c r="D3" i="17"/>
  <c r="C3" i="17"/>
  <c r="C7" i="17" s="1"/>
  <c r="D7" i="7"/>
  <c r="B7" i="5"/>
  <c r="D7" i="17" l="1"/>
  <c r="B9" i="8"/>
  <c r="B12" i="8" s="1"/>
  <c r="A9" i="8"/>
  <c r="B11" i="8" s="1"/>
  <c r="D8" i="8"/>
  <c r="C8" i="8"/>
  <c r="D7" i="8"/>
  <c r="C7" i="8"/>
  <c r="D6" i="8"/>
  <c r="C6" i="8"/>
  <c r="D5" i="8"/>
  <c r="C5" i="8"/>
  <c r="D4" i="8"/>
  <c r="C4" i="8"/>
  <c r="D3" i="8"/>
  <c r="C3" i="8"/>
  <c r="B9" i="7"/>
  <c r="B12" i="7" s="1"/>
  <c r="A9" i="7"/>
  <c r="B11" i="7" s="1"/>
  <c r="D8" i="7"/>
  <c r="C8" i="7"/>
  <c r="C7" i="7"/>
  <c r="D6" i="7"/>
  <c r="C6" i="7"/>
  <c r="D5" i="7"/>
  <c r="C5" i="7"/>
  <c r="D4" i="7"/>
  <c r="C4" i="7"/>
  <c r="D3" i="7"/>
  <c r="C3" i="7"/>
  <c r="B7" i="6"/>
  <c r="B10" i="6" s="1"/>
  <c r="A7" i="6"/>
  <c r="B9" i="6" s="1"/>
  <c r="D6" i="6"/>
  <c r="C6" i="6"/>
  <c r="D5" i="6"/>
  <c r="C5" i="6"/>
  <c r="D4" i="6"/>
  <c r="C4" i="6"/>
  <c r="D3" i="6"/>
  <c r="C3" i="6"/>
  <c r="D4" i="4"/>
  <c r="E4" i="4"/>
  <c r="F4" i="4"/>
  <c r="C4" i="4"/>
  <c r="C19" i="3"/>
  <c r="C20" i="3" s="1"/>
  <c r="C21" i="3" s="1"/>
  <c r="D19" i="3"/>
  <c r="E19" i="3"/>
  <c r="E20" i="3" s="1"/>
  <c r="E21" i="3" s="1"/>
  <c r="F19" i="3"/>
  <c r="B19" i="3"/>
  <c r="B20" i="3" s="1"/>
  <c r="B21" i="3" s="1"/>
  <c r="F18" i="3"/>
  <c r="E18" i="3"/>
  <c r="D18" i="3"/>
  <c r="C18" i="3"/>
  <c r="B18" i="3"/>
  <c r="C5" i="3"/>
  <c r="D5" i="3"/>
  <c r="E5" i="3"/>
  <c r="F5" i="3"/>
  <c r="B5" i="3"/>
  <c r="F20" i="3"/>
  <c r="F21" i="3" s="1"/>
  <c r="D20" i="3"/>
  <c r="D21" i="3" s="1"/>
  <c r="G17" i="3"/>
  <c r="E7" i="3"/>
  <c r="E8" i="3" s="1"/>
  <c r="F7" i="3"/>
  <c r="F8" i="3" s="1"/>
  <c r="C6" i="3"/>
  <c r="C7" i="3" s="1"/>
  <c r="C8" i="3" s="1"/>
  <c r="D6" i="3"/>
  <c r="D7" i="3" s="1"/>
  <c r="D8" i="3" s="1"/>
  <c r="E6" i="3"/>
  <c r="F6" i="3"/>
  <c r="B6" i="3"/>
  <c r="B7" i="3" s="1"/>
  <c r="B8" i="3" s="1"/>
  <c r="G4" i="3"/>
  <c r="B18" i="2"/>
  <c r="C17" i="2"/>
  <c r="C16" i="2"/>
  <c r="C15" i="2"/>
  <c r="C18" i="2" s="1"/>
  <c r="B20" i="2" s="1"/>
  <c r="B7" i="2"/>
  <c r="C6" i="2"/>
  <c r="C5" i="2"/>
  <c r="C4" i="2"/>
  <c r="C7" i="2" s="1"/>
  <c r="F4" i="1"/>
  <c r="G4" i="1" s="1"/>
  <c r="F6" i="1"/>
  <c r="G6" i="1" s="1"/>
  <c r="E4" i="1"/>
  <c r="E5" i="1"/>
  <c r="F5" i="1" s="1"/>
  <c r="G5" i="1" s="1"/>
  <c r="E6" i="1"/>
  <c r="E7" i="1"/>
  <c r="F7" i="1" s="1"/>
  <c r="G7" i="1" s="1"/>
  <c r="E3" i="1"/>
  <c r="F3" i="1" s="1"/>
  <c r="G3" i="1" s="1"/>
  <c r="C8" i="1"/>
  <c r="D4" i="1"/>
  <c r="D5" i="1"/>
  <c r="D6" i="1"/>
  <c r="D7" i="1"/>
  <c r="D3" i="1"/>
  <c r="D8" i="1" l="1"/>
  <c r="G8" i="3"/>
  <c r="B11" i="3" s="1"/>
  <c r="B12" i="3" s="1"/>
  <c r="G8" i="1"/>
  <c r="B11" i="1" s="1"/>
  <c r="B12" i="1" s="1"/>
  <c r="C9" i="8"/>
  <c r="B9" i="2"/>
  <c r="G5" i="3"/>
  <c r="B10" i="3" s="1"/>
  <c r="C7" i="6"/>
  <c r="D16" i="2"/>
  <c r="E16" i="2" s="1"/>
  <c r="F16" i="2" s="1"/>
  <c r="D17" i="2"/>
  <c r="E17" i="2" s="1"/>
  <c r="F17" i="2" s="1"/>
  <c r="D15" i="2"/>
  <c r="D7" i="6"/>
  <c r="G18" i="3"/>
  <c r="B23" i="3" s="1"/>
  <c r="D9" i="7"/>
  <c r="B10" i="1"/>
  <c r="C9" i="7"/>
  <c r="D9" i="8"/>
  <c r="G21" i="3"/>
  <c r="B24" i="3" s="1"/>
  <c r="B25" i="3" s="1"/>
  <c r="D18" i="2" l="1"/>
  <c r="E15" i="2"/>
  <c r="D6" i="2"/>
  <c r="E6" i="2" s="1"/>
  <c r="F6" i="2" s="1"/>
  <c r="D5" i="2"/>
  <c r="E5" i="2" s="1"/>
  <c r="F5" i="2" s="1"/>
  <c r="D4" i="2"/>
  <c r="E4" i="2" l="1"/>
  <c r="D7" i="2"/>
  <c r="F15" i="2"/>
  <c r="F18" i="2" s="1"/>
  <c r="B21" i="2" s="1"/>
  <c r="B22" i="2" s="1"/>
  <c r="E18" i="2"/>
  <c r="F4" i="2" l="1"/>
  <c r="F7" i="2" s="1"/>
  <c r="B10" i="2" s="1"/>
  <c r="B11" i="2" s="1"/>
  <c r="E7" i="2"/>
</calcChain>
</file>

<file path=xl/sharedStrings.xml><?xml version="1.0" encoding="utf-8"?>
<sst xmlns="http://schemas.openxmlformats.org/spreadsheetml/2006/main" count="211" uniqueCount="47">
  <si>
    <t>N</t>
  </si>
  <si>
    <t xml:space="preserve">Montant </t>
  </si>
  <si>
    <t>xi</t>
  </si>
  <si>
    <t>ni</t>
  </si>
  <si>
    <t>ni xi</t>
  </si>
  <si>
    <t>Xi</t>
  </si>
  <si>
    <t>[0 ; 1000[</t>
  </si>
  <si>
    <t>[1000 ; 1500[</t>
  </si>
  <si>
    <t>[1500 ; 2000[</t>
  </si>
  <si>
    <t>[2000 ; 3000[</t>
  </si>
  <si>
    <t>[3000 ; 4000[</t>
  </si>
  <si>
    <r>
      <t>Xi</t>
    </r>
    <r>
      <rPr>
        <vertAlign val="superscript"/>
        <sz val="12"/>
        <rFont val="Times New Roman"/>
        <family val="1"/>
      </rPr>
      <t>2</t>
    </r>
  </si>
  <si>
    <r>
      <t>ni Xi</t>
    </r>
    <r>
      <rPr>
        <vertAlign val="superscript"/>
        <sz val="12"/>
        <rFont val="Times New Roman"/>
        <family val="1"/>
      </rPr>
      <t>2</t>
    </r>
  </si>
  <si>
    <t>Moyenne :</t>
  </si>
  <si>
    <t xml:space="preserve">Variance : </t>
  </si>
  <si>
    <t xml:space="preserve">Ecart type : </t>
  </si>
  <si>
    <t>Nadia</t>
  </si>
  <si>
    <t>Totaux</t>
  </si>
  <si>
    <t>Variance</t>
  </si>
  <si>
    <t>Ecart type</t>
  </si>
  <si>
    <t>Paul</t>
  </si>
  <si>
    <r>
      <t>Xi</t>
    </r>
    <r>
      <rPr>
        <vertAlign val="superscript"/>
        <sz val="12"/>
        <color theme="1"/>
        <rFont val="Times New Roman"/>
        <family val="1"/>
      </rPr>
      <t xml:space="preserve"> 2</t>
    </r>
  </si>
  <si>
    <r>
      <t>ni Xi</t>
    </r>
    <r>
      <rPr>
        <vertAlign val="superscript"/>
        <sz val="12"/>
        <color theme="1"/>
        <rFont val="Times New Roman"/>
        <family val="1"/>
      </rPr>
      <t xml:space="preserve"> 2</t>
    </r>
  </si>
  <si>
    <r>
      <t>x</t>
    </r>
    <r>
      <rPr>
        <sz val="12"/>
        <color theme="1"/>
        <rFont val="Calibri"/>
        <family val="2"/>
      </rPr>
      <t>̅</t>
    </r>
  </si>
  <si>
    <t>Variance :</t>
  </si>
  <si>
    <t>Ecart type :</t>
  </si>
  <si>
    <t>Années</t>
  </si>
  <si>
    <t>N-4</t>
  </si>
  <si>
    <t>N-3</t>
  </si>
  <si>
    <t>N-2</t>
  </si>
  <si>
    <t>N-1</t>
  </si>
  <si>
    <t>Ventes en volumes</t>
  </si>
  <si>
    <t>Taux d'évolution</t>
  </si>
  <si>
    <t>-</t>
  </si>
  <si>
    <t>yi</t>
  </si>
  <si>
    <r>
      <t>xi</t>
    </r>
    <r>
      <rPr>
        <vertAlign val="superscript"/>
        <sz val="12"/>
        <color theme="1"/>
        <rFont val="Times New Roman"/>
        <family val="1"/>
      </rPr>
      <t>2</t>
    </r>
  </si>
  <si>
    <t>xi yi</t>
  </si>
  <si>
    <r>
      <t>x</t>
    </r>
    <r>
      <rPr>
        <sz val="12"/>
        <color theme="1"/>
        <rFont val="Calibri"/>
        <family val="2"/>
      </rPr>
      <t xml:space="preserve">̅ = </t>
    </r>
  </si>
  <si>
    <r>
      <t>y</t>
    </r>
    <r>
      <rPr>
        <sz val="12"/>
        <color theme="1"/>
        <rFont val="Calibri"/>
        <family val="2"/>
      </rPr>
      <t>̅</t>
    </r>
  </si>
  <si>
    <t xml:space="preserve">Nombre </t>
  </si>
  <si>
    <t>Étas-Unis</t>
  </si>
  <si>
    <t>Inde</t>
  </si>
  <si>
    <t>Total</t>
  </si>
  <si>
    <t>CA</t>
  </si>
  <si>
    <t>527 100,00</t>
  </si>
  <si>
    <r>
      <t>x</t>
    </r>
    <r>
      <rPr>
        <b/>
        <vertAlign val="subscript"/>
        <sz val="12"/>
        <color theme="1"/>
        <rFont val="Times New Roman"/>
        <family val="1"/>
      </rPr>
      <t>i</t>
    </r>
  </si>
  <si>
    <r>
      <t>y</t>
    </r>
    <r>
      <rPr>
        <b/>
        <vertAlign val="subscript"/>
        <sz val="12"/>
        <color theme="1"/>
        <rFont val="Times New Roman"/>
        <family val="1"/>
      </rPr>
      <t>i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</si>
</sst>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\ _€_-;\-* #,##0.00\ _€_-;_-* &quot;-&quot;??\ _€_-;_-@_-"/>
    <numFmt numFmtId="165" formatCode="_-* #,##0.0\ _€_-;\-* #,##0.0\ _€_-;_-* &quot;-&quot;??\ _€_-;_-@_-"/>
    <numFmt numFmtId="166" formatCode="_-* #,##0\ _€_-;\-* #,##0\ _€_-;_-* &quot;-&quot;??\ _€_-;_-@_-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12"/>
      <color theme="1"/>
      <name val="Calibri"/>
      <family val="2"/>
      <scheme val="minor"/>
    </font>
    <font>
      <sz val="12"/>
      <name val="Calibri"/>
      <family val="2"/>
      <scheme val="minor"/>
    </font>
    <font>
      <sz val="12"/>
      <name val="Times New Roman"/>
      <family val="1"/>
    </font>
    <font>
      <vertAlign val="superscript"/>
      <sz val="12"/>
      <name val="Times New Roman"/>
      <family val="1"/>
    </font>
    <font>
      <vertAlign val="superscript"/>
      <sz val="12"/>
      <color theme="1"/>
      <name val="Times New Roman"/>
      <family val="1"/>
    </font>
    <font>
      <sz val="12"/>
      <color theme="1"/>
      <name val="Calibri"/>
      <family val="2"/>
    </font>
    <font>
      <sz val="11"/>
      <name val="Times New Roman"/>
      <family val="1"/>
    </font>
    <font>
      <b/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2"/>
      <color rgb="FFFF0000"/>
      <name val="Times New Roman"/>
      <family val="1"/>
    </font>
    <font>
      <sz val="12"/>
      <color rgb="FFFF0000"/>
      <name val="Calibri"/>
      <family val="2"/>
      <scheme val="minor"/>
    </font>
    <font>
      <b/>
      <sz val="12"/>
      <color rgb="FFFF0000"/>
      <name val="Symbol"/>
      <family val="1"/>
      <charset val="2"/>
    </font>
    <font>
      <b/>
      <sz val="12"/>
      <color rgb="FFFF0000"/>
      <name val="Times New Roman"/>
      <family val="1"/>
    </font>
    <font>
      <b/>
      <sz val="12"/>
      <color rgb="FFFF0000"/>
      <name val="Calibri"/>
      <family val="2"/>
      <scheme val="minor"/>
    </font>
    <font>
      <b/>
      <sz val="12"/>
      <color theme="1"/>
      <name val="Times New Roman"/>
      <family val="1"/>
    </font>
    <font>
      <b/>
      <vertAlign val="subscript"/>
      <sz val="12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57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/>
    <xf numFmtId="0" fontId="4" fillId="0" borderId="0" xfId="0" applyFont="1"/>
    <xf numFmtId="0" fontId="5" fillId="0" borderId="1" xfId="0" applyFont="1" applyBorder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5" fillId="0" borderId="0" xfId="0" applyFont="1" applyFill="1" applyBorder="1" applyAlignment="1">
      <alignment horizontal="center" vertical="center" wrapText="1"/>
    </xf>
    <xf numFmtId="0" fontId="5" fillId="0" borderId="6" xfId="0" applyFont="1" applyBorder="1" applyAlignment="1">
      <alignment horizontal="center" vertical="center" wrapText="1"/>
    </xf>
    <xf numFmtId="0" fontId="5" fillId="0" borderId="1" xfId="0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3" fontId="5" fillId="0" borderId="1" xfId="0" applyNumberFormat="1" applyFont="1" applyBorder="1" applyAlignment="1">
      <alignment horizontal="center" vertical="center"/>
    </xf>
    <xf numFmtId="3" fontId="2" fillId="0" borderId="1" xfId="0" applyNumberFormat="1" applyFont="1" applyBorder="1" applyAlignment="1">
      <alignment horizontal="center" vertical="center" wrapText="1"/>
    </xf>
    <xf numFmtId="3" fontId="3" fillId="0" borderId="1" xfId="0" applyNumberFormat="1" applyFont="1" applyBorder="1"/>
    <xf numFmtId="3" fontId="10" fillId="0" borderId="1" xfId="0" applyNumberFormat="1" applyFont="1" applyBorder="1"/>
    <xf numFmtId="3" fontId="10" fillId="0" borderId="1" xfId="0" applyNumberFormat="1" applyFont="1" applyBorder="1" applyAlignment="1">
      <alignment horizontal="center"/>
    </xf>
    <xf numFmtId="164" fontId="3" fillId="0" borderId="0" xfId="1" applyFont="1"/>
    <xf numFmtId="166" fontId="3" fillId="0" borderId="0" xfId="1" applyNumberFormat="1" applyFont="1"/>
    <xf numFmtId="0" fontId="2" fillId="0" borderId="9" xfId="0" applyFont="1" applyBorder="1" applyAlignment="1">
      <alignment horizontal="center" vertical="center" wrapText="1"/>
    </xf>
    <xf numFmtId="0" fontId="12" fillId="0" borderId="1" xfId="0" applyFont="1" applyBorder="1" applyAlignment="1">
      <alignment horizontal="center" vertical="center" wrapText="1"/>
    </xf>
    <xf numFmtId="166" fontId="12" fillId="0" borderId="1" xfId="1" applyNumberFormat="1" applyFont="1" applyBorder="1" applyAlignment="1">
      <alignment horizontal="center" vertical="center" wrapText="1"/>
    </xf>
    <xf numFmtId="164" fontId="13" fillId="0" borderId="0" xfId="1" applyFont="1"/>
    <xf numFmtId="164" fontId="13" fillId="0" borderId="0" xfId="1" applyFont="1" applyAlignment="1">
      <alignment horizontal="right"/>
    </xf>
    <xf numFmtId="0" fontId="13" fillId="0" borderId="0" xfId="0" applyFont="1"/>
    <xf numFmtId="0" fontId="14" fillId="0" borderId="1" xfId="0" applyFont="1" applyBorder="1" applyAlignment="1">
      <alignment horizontal="center" vertical="center" wrapText="1"/>
    </xf>
    <xf numFmtId="1" fontId="13" fillId="0" borderId="0" xfId="0" applyNumberFormat="1" applyFont="1"/>
    <xf numFmtId="2" fontId="12" fillId="0" borderId="1" xfId="0" applyNumberFormat="1" applyFont="1" applyBorder="1" applyAlignment="1">
      <alignment horizontal="center" vertical="center" wrapText="1"/>
    </xf>
    <xf numFmtId="164" fontId="12" fillId="0" borderId="1" xfId="1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4" fontId="11" fillId="0" borderId="0" xfId="1" applyFont="1"/>
    <xf numFmtId="0" fontId="12" fillId="0" borderId="0" xfId="0" applyFont="1" applyFill="1" applyBorder="1" applyAlignment="1">
      <alignment horizontal="center" vertical="center" wrapText="1"/>
    </xf>
    <xf numFmtId="164" fontId="11" fillId="0" borderId="0" xfId="0" applyNumberFormat="1" applyFont="1"/>
    <xf numFmtId="0" fontId="11" fillId="0" borderId="0" xfId="0" applyFont="1"/>
    <xf numFmtId="0" fontId="12" fillId="0" borderId="1" xfId="0" applyFont="1" applyBorder="1" applyAlignment="1">
      <alignment horizontal="center" vertical="center"/>
    </xf>
    <xf numFmtId="10" fontId="12" fillId="0" borderId="1" xfId="0" applyNumberFormat="1" applyFont="1" applyBorder="1" applyAlignment="1">
      <alignment horizontal="center" vertical="center"/>
    </xf>
    <xf numFmtId="0" fontId="12" fillId="0" borderId="4" xfId="0" applyFont="1" applyBorder="1" applyAlignment="1">
      <alignment horizontal="center" vertical="center" wrapText="1"/>
    </xf>
    <xf numFmtId="0" fontId="12" fillId="0" borderId="5" xfId="0" applyFont="1" applyBorder="1" applyAlignment="1">
      <alignment horizontal="center" vertical="center" wrapText="1"/>
    </xf>
    <xf numFmtId="0" fontId="15" fillId="0" borderId="4" xfId="0" applyFont="1" applyBorder="1" applyAlignment="1">
      <alignment horizontal="center" vertical="center" wrapText="1"/>
    </xf>
    <xf numFmtId="3" fontId="12" fillId="0" borderId="1" xfId="0" applyNumberFormat="1" applyFont="1" applyBorder="1" applyAlignment="1">
      <alignment horizontal="center" vertical="center" wrapText="1"/>
    </xf>
    <xf numFmtId="3" fontId="13" fillId="0" borderId="1" xfId="0" applyNumberFormat="1" applyFont="1" applyBorder="1"/>
    <xf numFmtId="3" fontId="16" fillId="0" borderId="1" xfId="0" applyNumberFormat="1" applyFont="1" applyBorder="1" applyAlignment="1">
      <alignment horizontal="center"/>
    </xf>
    <xf numFmtId="3" fontId="16" fillId="0" borderId="1" xfId="0" applyNumberFormat="1" applyFont="1" applyBorder="1"/>
    <xf numFmtId="166" fontId="13" fillId="0" borderId="0" xfId="1" applyNumberFormat="1" applyFont="1"/>
    <xf numFmtId="166" fontId="13" fillId="0" borderId="1" xfId="1" applyNumberFormat="1" applyFont="1" applyBorder="1" applyAlignment="1">
      <alignment horizontal="center"/>
    </xf>
    <xf numFmtId="3" fontId="16" fillId="0" borderId="8" xfId="0" applyNumberFormat="1" applyFont="1" applyBorder="1" applyAlignment="1">
      <alignment horizontal="center"/>
    </xf>
    <xf numFmtId="165" fontId="13" fillId="0" borderId="0" xfId="1" applyNumberFormat="1" applyFont="1"/>
    <xf numFmtId="166" fontId="12" fillId="0" borderId="1" xfId="1" applyNumberFormat="1" applyFont="1" applyBorder="1" applyAlignment="1">
      <alignment wrapText="1"/>
    </xf>
    <xf numFmtId="0" fontId="2" fillId="0" borderId="4" xfId="0" applyFont="1" applyBorder="1" applyAlignment="1">
      <alignment horizontal="center" vertical="center" wrapText="1"/>
    </xf>
    <xf numFmtId="166" fontId="12" fillId="0" borderId="5" xfId="1" applyNumberFormat="1" applyFont="1" applyBorder="1" applyAlignment="1">
      <alignment horizontal="center" vertical="center" wrapText="1"/>
    </xf>
    <xf numFmtId="166" fontId="12" fillId="0" borderId="5" xfId="1" applyNumberFormat="1" applyFont="1" applyBorder="1" applyAlignment="1">
      <alignment vertical="center" wrapText="1"/>
    </xf>
    <xf numFmtId="166" fontId="15" fillId="0" borderId="5" xfId="1" applyNumberFormat="1" applyFont="1" applyBorder="1" applyAlignment="1">
      <alignment vertical="center" wrapText="1"/>
    </xf>
    <xf numFmtId="0" fontId="17" fillId="0" borderId="2" xfId="0" applyFont="1" applyBorder="1" applyAlignment="1">
      <alignment horizontal="center" vertical="center" wrapText="1"/>
    </xf>
    <xf numFmtId="0" fontId="17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right" vertical="center" wrapText="1"/>
    </xf>
    <xf numFmtId="0" fontId="17" fillId="0" borderId="4" xfId="0" applyFont="1" applyBorder="1" applyAlignment="1">
      <alignment horizontal="right" vertical="center" wrapText="1"/>
    </xf>
    <xf numFmtId="0" fontId="17" fillId="0" borderId="5" xfId="0" applyFont="1" applyBorder="1" applyAlignment="1">
      <alignment horizontal="right" vertical="center" wrapText="1"/>
    </xf>
    <xf numFmtId="166" fontId="13" fillId="0" borderId="0" xfId="0" applyNumberFormat="1" applyFont="1"/>
  </cellXfs>
  <cellStyles count="2">
    <cellStyle name="Milliers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calcChain" Target="calcChai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Evolution des ventes de FUN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'Exercice6-Question1-corrigé'!$B$2</c:f>
              <c:strCache>
                <c:ptCount val="1"/>
                <c:pt idx="0">
                  <c:v>CA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'Exercice6-Question1-corrigé'!$A$3:$A$6</c:f>
              <c:strCache>
                <c:ptCount val="4"/>
                <c:pt idx="0">
                  <c:v>N-3</c:v>
                </c:pt>
                <c:pt idx="1">
                  <c:v>N-2</c:v>
                </c:pt>
                <c:pt idx="2">
                  <c:v>N-1</c:v>
                </c:pt>
                <c:pt idx="3">
                  <c:v>N</c:v>
                </c:pt>
              </c:strCache>
            </c:strRef>
          </c:cat>
          <c:val>
            <c:numRef>
              <c:f>'Exercice6-Question1-corrigé'!$B$3:$B$6</c:f>
              <c:numCache>
                <c:formatCode>General</c:formatCode>
                <c:ptCount val="4"/>
                <c:pt idx="0">
                  <c:v>1800</c:v>
                </c:pt>
                <c:pt idx="1">
                  <c:v>2000</c:v>
                </c:pt>
                <c:pt idx="2">
                  <c:v>2320</c:v>
                </c:pt>
                <c:pt idx="3">
                  <c:v>2800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3AB-4E16-9AD0-55F08A07CE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21289344"/>
        <c:axId val="121295232"/>
      </c:lineChart>
      <c:catAx>
        <c:axId val="12128934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295232"/>
        <c:crosses val="autoZero"/>
        <c:auto val="1"/>
        <c:lblAlgn val="ctr"/>
        <c:lblOffset val="100"/>
        <c:noMultiLvlLbl val="0"/>
      </c:catAx>
      <c:valAx>
        <c:axId val="12129523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128934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33" l="0.70000000000000029" r="0.70000000000000029" t="0.75000000000000033" header="0.30000000000000016" footer="0.30000000000000016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'Exercice9-Questions1-2-corrigé'!$A$3:$A$8</c:f>
              <c:numCache>
                <c:formatCode>General</c:formatCode>
                <c:ptCount val="6"/>
                <c:pt idx="0">
                  <c:v>15</c:v>
                </c:pt>
                <c:pt idx="1">
                  <c:v>18.5</c:v>
                </c:pt>
                <c:pt idx="2">
                  <c:v>19</c:v>
                </c:pt>
                <c:pt idx="3">
                  <c:v>16.5</c:v>
                </c:pt>
                <c:pt idx="4">
                  <c:v>16</c:v>
                </c:pt>
                <c:pt idx="5">
                  <c:v>18.2</c:v>
                </c:pt>
              </c:numCache>
            </c:numRef>
          </c:xVal>
          <c:yVal>
            <c:numRef>
              <c:f>'Exercice9-Questions1-2-corrigé'!$B$3:$B$8</c:f>
              <c:numCache>
                <c:formatCode>_-* #\ ##0\ _€_-;\-* #\ ##0\ _€_-;_-* "-"??\ _€_-;_-@_-</c:formatCode>
                <c:ptCount val="6"/>
                <c:pt idx="0">
                  <c:v>75000</c:v>
                </c:pt>
                <c:pt idx="1">
                  <c:v>95400</c:v>
                </c:pt>
                <c:pt idx="2">
                  <c:v>100400</c:v>
                </c:pt>
                <c:pt idx="3">
                  <c:v>83500</c:v>
                </c:pt>
                <c:pt idx="4">
                  <c:v>80400</c:v>
                </c:pt>
                <c:pt idx="5">
                  <c:v>92400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1B4-4154-B2AF-183223F376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252032"/>
        <c:axId val="132253568"/>
      </c:scatterChart>
      <c:valAx>
        <c:axId val="132252032"/>
        <c:scaling>
          <c:orientation val="minMax"/>
          <c:min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253568"/>
        <c:crosses val="autoZero"/>
        <c:crossBetween val="midCat"/>
      </c:valAx>
      <c:valAx>
        <c:axId val="132253568"/>
        <c:scaling>
          <c:orientation val="minMax"/>
          <c:min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252032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'Exercice9-Questions1-2-corrigé'!$A$3:$A$8</c:f>
              <c:numCache>
                <c:formatCode>General</c:formatCode>
                <c:ptCount val="6"/>
                <c:pt idx="0">
                  <c:v>15</c:v>
                </c:pt>
                <c:pt idx="1">
                  <c:v>18.5</c:v>
                </c:pt>
                <c:pt idx="2">
                  <c:v>19</c:v>
                </c:pt>
                <c:pt idx="3">
                  <c:v>16.5</c:v>
                </c:pt>
                <c:pt idx="4">
                  <c:v>16</c:v>
                </c:pt>
                <c:pt idx="5">
                  <c:v>18.2</c:v>
                </c:pt>
              </c:numCache>
            </c:numRef>
          </c:xVal>
          <c:yVal>
            <c:numRef>
              <c:f>'Exercice9-Questions1-2-corrigé'!$B$3:$B$8</c:f>
              <c:numCache>
                <c:formatCode>_-* #\ ##0\ _€_-;\-* #\ ##0\ _€_-;_-* "-"??\ _€_-;_-@_-</c:formatCode>
                <c:ptCount val="6"/>
                <c:pt idx="0">
                  <c:v>75000</c:v>
                </c:pt>
                <c:pt idx="1">
                  <c:v>95400</c:v>
                </c:pt>
                <c:pt idx="2">
                  <c:v>100400</c:v>
                </c:pt>
                <c:pt idx="3">
                  <c:v>83500</c:v>
                </c:pt>
                <c:pt idx="4">
                  <c:v>80400</c:v>
                </c:pt>
                <c:pt idx="5">
                  <c:v>92400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4BF-4C2F-959F-A73F30C188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32314624"/>
        <c:axId val="132316160"/>
      </c:scatterChart>
      <c:valAx>
        <c:axId val="132314624"/>
        <c:scaling>
          <c:orientation val="minMax"/>
          <c:min val="14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316160"/>
        <c:crosses val="autoZero"/>
        <c:crossBetween val="midCat"/>
      </c:valAx>
      <c:valAx>
        <c:axId val="132316160"/>
        <c:scaling>
          <c:orientation val="minMax"/>
          <c:min val="7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-* #\ ##0\ _€_-;\-* #\ ##0\ _€_-;_-* &quot;-&quot;??\ _€_-;_-@_-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32314624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000000000000011" l="0.70000000000000007" r="0.70000000000000007" t="0.75000000000000011" header="0.30000000000000004" footer="0.30000000000000004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104775</xdr:colOff>
      <xdr:row>8</xdr:row>
      <xdr:rowOff>157162</xdr:rowOff>
    </xdr:from>
    <xdr:to>
      <xdr:col>6</xdr:col>
      <xdr:colOff>104775</xdr:colOff>
      <xdr:row>23</xdr:row>
      <xdr:rowOff>42862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00000000-0008-0000-09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0</xdr:row>
      <xdr:rowOff>160020</xdr:rowOff>
    </xdr:from>
    <xdr:to>
      <xdr:col>9</xdr:col>
      <xdr:colOff>175260</xdr:colOff>
      <xdr:row>14</xdr:row>
      <xdr:rowOff>121920</xdr:rowOff>
    </xdr:to>
    <xdr:graphicFrame macro="">
      <xdr:nvGraphicFramePr>
        <xdr:cNvPr id="2" name="Graphique 1">
          <a:extLst>
            <a:ext uri="{FF2B5EF4-FFF2-40B4-BE49-F238E27FC236}">
              <a16:creationId xmlns:a16="http://schemas.microsoft.com/office/drawing/2014/main" id="{15D2210F-0821-4F27-8C56-3B0CE7E4218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358140</xdr:colOff>
      <xdr:row>0</xdr:row>
      <xdr:rowOff>160020</xdr:rowOff>
    </xdr:from>
    <xdr:to>
      <xdr:col>9</xdr:col>
      <xdr:colOff>175260</xdr:colOff>
      <xdr:row>14</xdr:row>
      <xdr:rowOff>121920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23AE3317-C53E-498F-ADB6-39C07807F4B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12"/>
  <sheetViews>
    <sheetView workbookViewId="0">
      <selection activeCell="B10" sqref="B10:C12"/>
    </sheetView>
  </sheetViews>
  <sheetFormatPr baseColWidth="10" defaultRowHeight="15" x14ac:dyDescent="0.25"/>
  <cols>
    <col min="1" max="1" width="19" customWidth="1"/>
    <col min="2" max="2" width="14.28515625" customWidth="1"/>
    <col min="6" max="6" width="17.85546875" customWidth="1"/>
    <col min="7" max="7" width="17.140625" customWidth="1"/>
  </cols>
  <sheetData>
    <row r="2" spans="1:7" ht="18.7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11</v>
      </c>
      <c r="G2" s="4" t="s">
        <v>12</v>
      </c>
    </row>
    <row r="3" spans="1:7" ht="19.5" customHeight="1" x14ac:dyDescent="0.25">
      <c r="A3" s="19"/>
      <c r="B3" s="20"/>
      <c r="C3" s="20"/>
      <c r="D3" s="20"/>
      <c r="E3" s="20"/>
      <c r="F3" s="20"/>
      <c r="G3" s="20"/>
    </row>
    <row r="4" spans="1:7" ht="21" customHeight="1" x14ac:dyDescent="0.25">
      <c r="A4" s="19"/>
      <c r="B4" s="20"/>
      <c r="C4" s="20"/>
      <c r="D4" s="20"/>
      <c r="E4" s="20"/>
      <c r="F4" s="20"/>
      <c r="G4" s="20"/>
    </row>
    <row r="5" spans="1:7" ht="21.75" customHeight="1" x14ac:dyDescent="0.25">
      <c r="A5" s="19"/>
      <c r="B5" s="20"/>
      <c r="C5" s="20"/>
      <c r="D5" s="20"/>
      <c r="E5" s="20"/>
      <c r="F5" s="20"/>
      <c r="G5" s="20"/>
    </row>
    <row r="6" spans="1:7" ht="24.75" customHeight="1" x14ac:dyDescent="0.25">
      <c r="A6" s="19"/>
      <c r="B6" s="20"/>
      <c r="C6" s="20"/>
      <c r="D6" s="20"/>
      <c r="E6" s="20"/>
      <c r="F6" s="20"/>
      <c r="G6" s="20"/>
    </row>
    <row r="7" spans="1:7" ht="22.5" customHeight="1" x14ac:dyDescent="0.25">
      <c r="A7" s="19"/>
      <c r="B7" s="20"/>
      <c r="C7" s="20"/>
      <c r="D7" s="20"/>
      <c r="E7" s="20"/>
      <c r="F7" s="20"/>
      <c r="G7" s="20"/>
    </row>
    <row r="8" spans="1:7" ht="20.25" customHeight="1" x14ac:dyDescent="0.25">
      <c r="A8" s="19"/>
      <c r="B8" s="20"/>
      <c r="C8" s="20"/>
      <c r="D8" s="20"/>
      <c r="E8" s="20"/>
      <c r="F8" s="20"/>
      <c r="G8" s="20"/>
    </row>
    <row r="9" spans="1:7" ht="15.75" x14ac:dyDescent="0.25">
      <c r="A9" s="3"/>
      <c r="B9" s="3"/>
      <c r="C9" s="3"/>
      <c r="D9" s="3"/>
      <c r="E9" s="3"/>
      <c r="F9" s="3"/>
      <c r="G9" s="3"/>
    </row>
    <row r="10" spans="1:7" ht="15.75" x14ac:dyDescent="0.25">
      <c r="A10" s="3" t="s">
        <v>13</v>
      </c>
      <c r="B10" s="21"/>
      <c r="C10" s="23"/>
      <c r="D10" s="3"/>
      <c r="E10" s="3"/>
      <c r="F10" s="3"/>
      <c r="G10" s="3"/>
    </row>
    <row r="11" spans="1:7" ht="15.75" x14ac:dyDescent="0.25">
      <c r="A11" s="3" t="s">
        <v>14</v>
      </c>
      <c r="B11" s="22"/>
      <c r="C11" s="3"/>
      <c r="D11" s="3"/>
      <c r="E11" s="3"/>
      <c r="F11" s="3"/>
      <c r="G11" s="3"/>
    </row>
    <row r="12" spans="1:7" ht="15.75" x14ac:dyDescent="0.25">
      <c r="A12" s="3" t="s">
        <v>15</v>
      </c>
      <c r="B12" s="21"/>
      <c r="C12" s="3"/>
      <c r="D12" s="3"/>
      <c r="E12" s="3"/>
      <c r="F12" s="3"/>
      <c r="G12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2"/>
  <sheetViews>
    <sheetView workbookViewId="0">
      <selection activeCell="A2" sqref="A2:G12"/>
    </sheetView>
  </sheetViews>
  <sheetFormatPr baseColWidth="10" defaultRowHeight="15" x14ac:dyDescent="0.25"/>
  <cols>
    <col min="1" max="1" width="32.85546875" customWidth="1"/>
    <col min="2" max="2" width="14.42578125" bestFit="1" customWidth="1"/>
    <col min="3" max="3" width="11.5703125" bestFit="1" customWidth="1"/>
    <col min="4" max="4" width="12.42578125" bestFit="1" customWidth="1"/>
    <col min="5" max="5" width="11.5703125" bestFit="1" customWidth="1"/>
    <col min="6" max="6" width="15.28515625" bestFit="1" customWidth="1"/>
    <col min="7" max="7" width="16.5703125" bestFit="1" customWidth="1"/>
  </cols>
  <sheetData>
    <row r="1" spans="1:7" s="3" customFormat="1" ht="15.75" x14ac:dyDescent="0.25"/>
    <row r="2" spans="1:7" s="3" customFormat="1" ht="18.75" x14ac:dyDescent="0.25">
      <c r="A2" s="4" t="s">
        <v>1</v>
      </c>
      <c r="B2" s="4" t="s">
        <v>2</v>
      </c>
      <c r="C2" s="4" t="s">
        <v>3</v>
      </c>
      <c r="D2" s="4" t="s">
        <v>4</v>
      </c>
      <c r="E2" s="4" t="s">
        <v>5</v>
      </c>
      <c r="F2" s="4" t="s">
        <v>11</v>
      </c>
      <c r="G2" s="4" t="s">
        <v>12</v>
      </c>
    </row>
    <row r="3" spans="1:7" s="3" customFormat="1" ht="15.75" x14ac:dyDescent="0.25">
      <c r="A3" s="19" t="s">
        <v>6</v>
      </c>
      <c r="B3" s="20">
        <v>500</v>
      </c>
      <c r="C3" s="20">
        <v>10</v>
      </c>
      <c r="D3" s="20">
        <f>C3*B3</f>
        <v>5000</v>
      </c>
      <c r="E3" s="20">
        <f>B3-$C$10</f>
        <v>-1060</v>
      </c>
      <c r="F3" s="20">
        <f>E3*E3</f>
        <v>1123600</v>
      </c>
      <c r="G3" s="20">
        <f>F3*C3</f>
        <v>11236000</v>
      </c>
    </row>
    <row r="4" spans="1:7" s="3" customFormat="1" ht="15.75" x14ac:dyDescent="0.25">
      <c r="A4" s="19" t="s">
        <v>7</v>
      </c>
      <c r="B4" s="20">
        <v>1250</v>
      </c>
      <c r="C4" s="20">
        <v>15</v>
      </c>
      <c r="D4" s="20">
        <f t="shared" ref="D4:D7" si="0">C4*B4</f>
        <v>18750</v>
      </c>
      <c r="E4" s="20">
        <f t="shared" ref="E4:E7" si="1">B4-$C$10</f>
        <v>-310</v>
      </c>
      <c r="F4" s="20">
        <f t="shared" ref="F4:F7" si="2">E4*E4</f>
        <v>96100</v>
      </c>
      <c r="G4" s="20">
        <f t="shared" ref="G4:G7" si="3">F4*C4</f>
        <v>1441500</v>
      </c>
    </row>
    <row r="5" spans="1:7" s="3" customFormat="1" ht="15.75" x14ac:dyDescent="0.25">
      <c r="A5" s="19" t="s">
        <v>8</v>
      </c>
      <c r="B5" s="20">
        <v>1750</v>
      </c>
      <c r="C5" s="20">
        <v>25</v>
      </c>
      <c r="D5" s="20">
        <f t="shared" si="0"/>
        <v>43750</v>
      </c>
      <c r="E5" s="20">
        <f t="shared" si="1"/>
        <v>190</v>
      </c>
      <c r="F5" s="20">
        <f t="shared" si="2"/>
        <v>36100</v>
      </c>
      <c r="G5" s="20">
        <f t="shared" si="3"/>
        <v>902500</v>
      </c>
    </row>
    <row r="6" spans="1:7" s="3" customFormat="1" ht="15.75" x14ac:dyDescent="0.25">
      <c r="A6" s="19" t="s">
        <v>9</v>
      </c>
      <c r="B6" s="20">
        <v>2500</v>
      </c>
      <c r="C6" s="20">
        <v>5</v>
      </c>
      <c r="D6" s="20">
        <f t="shared" si="0"/>
        <v>12500</v>
      </c>
      <c r="E6" s="20">
        <f t="shared" si="1"/>
        <v>940</v>
      </c>
      <c r="F6" s="20">
        <f t="shared" si="2"/>
        <v>883600</v>
      </c>
      <c r="G6" s="20">
        <f t="shared" si="3"/>
        <v>4418000</v>
      </c>
    </row>
    <row r="7" spans="1:7" s="3" customFormat="1" ht="15.75" x14ac:dyDescent="0.25">
      <c r="A7" s="19" t="s">
        <v>10</v>
      </c>
      <c r="B7" s="20">
        <v>3500</v>
      </c>
      <c r="C7" s="20">
        <v>3</v>
      </c>
      <c r="D7" s="20">
        <f t="shared" si="0"/>
        <v>10500</v>
      </c>
      <c r="E7" s="20">
        <f t="shared" si="1"/>
        <v>1940</v>
      </c>
      <c r="F7" s="20">
        <f t="shared" si="2"/>
        <v>3763600</v>
      </c>
      <c r="G7" s="20">
        <f t="shared" si="3"/>
        <v>11290800</v>
      </c>
    </row>
    <row r="8" spans="1:7" s="3" customFormat="1" ht="15.75" x14ac:dyDescent="0.25">
      <c r="A8" s="19"/>
      <c r="B8" s="20"/>
      <c r="C8" s="20">
        <f>SUM(C3:C7)</f>
        <v>58</v>
      </c>
      <c r="D8" s="20">
        <f>SUM(D3:D7)</f>
        <v>90500</v>
      </c>
      <c r="E8" s="20"/>
      <c r="F8" s="20"/>
      <c r="G8" s="20">
        <f>SUM(G3:G7)</f>
        <v>29288800</v>
      </c>
    </row>
    <row r="9" spans="1:7" s="3" customFormat="1" ht="15.75" x14ac:dyDescent="0.25"/>
    <row r="10" spans="1:7" s="3" customFormat="1" ht="15.75" x14ac:dyDescent="0.25">
      <c r="A10" s="3" t="s">
        <v>13</v>
      </c>
      <c r="B10" s="21">
        <f>D8/C8</f>
        <v>1560.344827586207</v>
      </c>
      <c r="C10" s="23">
        <v>1560</v>
      </c>
    </row>
    <row r="11" spans="1:7" s="3" customFormat="1" ht="15.75" x14ac:dyDescent="0.25">
      <c r="A11" s="3" t="s">
        <v>14</v>
      </c>
      <c r="B11" s="22">
        <f>G8/C8</f>
        <v>504979.31034482759</v>
      </c>
    </row>
    <row r="12" spans="1:7" s="3" customFormat="1" ht="15.75" x14ac:dyDescent="0.25">
      <c r="A12" s="3" t="s">
        <v>15</v>
      </c>
      <c r="B12" s="21">
        <f>SQRT(B11)</f>
        <v>710.61896283791043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F22"/>
  <sheetViews>
    <sheetView workbookViewId="0">
      <selection activeCell="B18" sqref="B18:F18"/>
    </sheetView>
  </sheetViews>
  <sheetFormatPr baseColWidth="10" defaultRowHeight="15" x14ac:dyDescent="0.25"/>
  <cols>
    <col min="1" max="1" width="15.140625" customWidth="1"/>
    <col min="2" max="2" width="12.7109375" customWidth="1"/>
  </cols>
  <sheetData>
    <row r="2" spans="1:6" ht="15.75" x14ac:dyDescent="0.25">
      <c r="A2" s="2" t="s">
        <v>16</v>
      </c>
      <c r="B2" s="2"/>
      <c r="C2" s="2"/>
      <c r="D2" s="2"/>
      <c r="E2" s="2"/>
      <c r="F2" s="2"/>
    </row>
    <row r="3" spans="1:6" ht="18.7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21</v>
      </c>
      <c r="F3" s="1" t="s">
        <v>22</v>
      </c>
    </row>
    <row r="4" spans="1:6" ht="15.75" x14ac:dyDescent="0.25">
      <c r="A4" s="19"/>
      <c r="B4" s="19"/>
      <c r="C4" s="19"/>
      <c r="D4" s="19"/>
      <c r="E4" s="19"/>
      <c r="F4" s="19"/>
    </row>
    <row r="5" spans="1:6" ht="15.75" x14ac:dyDescent="0.25">
      <c r="A5" s="19"/>
      <c r="B5" s="19"/>
      <c r="C5" s="19"/>
      <c r="D5" s="19"/>
      <c r="E5" s="19"/>
      <c r="F5" s="19"/>
    </row>
    <row r="6" spans="1:6" ht="15.75" x14ac:dyDescent="0.25">
      <c r="A6" s="19"/>
      <c r="B6" s="19"/>
      <c r="C6" s="19"/>
      <c r="D6" s="19"/>
      <c r="E6" s="19"/>
      <c r="F6" s="19"/>
    </row>
    <row r="7" spans="1:6" ht="15.75" x14ac:dyDescent="0.25">
      <c r="A7" s="1" t="s">
        <v>17</v>
      </c>
      <c r="B7" s="24"/>
      <c r="C7" s="24"/>
      <c r="D7" s="24"/>
      <c r="E7" s="24"/>
      <c r="F7" s="24"/>
    </row>
    <row r="8" spans="1:6" ht="15.75" x14ac:dyDescent="0.25">
      <c r="A8" s="2"/>
      <c r="B8" s="2"/>
      <c r="C8" s="2"/>
      <c r="D8" s="2"/>
      <c r="E8" s="2"/>
      <c r="F8" s="2"/>
    </row>
    <row r="9" spans="1:6" ht="15.75" x14ac:dyDescent="0.25">
      <c r="A9" s="2" t="s">
        <v>23</v>
      </c>
      <c r="B9" s="23"/>
      <c r="C9" s="2"/>
      <c r="D9" s="2"/>
      <c r="E9" s="2"/>
      <c r="F9" s="2"/>
    </row>
    <row r="10" spans="1:6" ht="15.75" x14ac:dyDescent="0.25">
      <c r="A10" s="2" t="s">
        <v>18</v>
      </c>
      <c r="B10" s="23"/>
      <c r="C10" s="2"/>
      <c r="D10" s="2"/>
      <c r="E10" s="2"/>
      <c r="F10" s="2"/>
    </row>
    <row r="11" spans="1:6" ht="15.75" x14ac:dyDescent="0.25">
      <c r="A11" s="2" t="s">
        <v>19</v>
      </c>
      <c r="B11" s="25"/>
      <c r="C11" s="2"/>
      <c r="D11" s="2"/>
      <c r="E11" s="2"/>
      <c r="F11" s="2"/>
    </row>
    <row r="12" spans="1:6" ht="15.75" x14ac:dyDescent="0.25">
      <c r="A12" s="2"/>
      <c r="B12" s="2"/>
      <c r="C12" s="2"/>
      <c r="D12" s="2"/>
      <c r="E12" s="2"/>
      <c r="F12" s="2"/>
    </row>
    <row r="13" spans="1:6" ht="15.75" x14ac:dyDescent="0.25">
      <c r="A13" s="2" t="s">
        <v>20</v>
      </c>
      <c r="B13" s="2"/>
      <c r="C13" s="2"/>
      <c r="D13" s="2"/>
      <c r="E13" s="2"/>
      <c r="F13" s="2"/>
    </row>
    <row r="14" spans="1:6" ht="18.75" x14ac:dyDescent="0.25">
      <c r="A14" s="1" t="s">
        <v>2</v>
      </c>
      <c r="B14" s="1" t="s">
        <v>3</v>
      </c>
      <c r="C14" s="1" t="s">
        <v>4</v>
      </c>
      <c r="D14" s="1" t="s">
        <v>5</v>
      </c>
      <c r="E14" s="1" t="s">
        <v>21</v>
      </c>
      <c r="F14" s="1" t="s">
        <v>22</v>
      </c>
    </row>
    <row r="15" spans="1:6" ht="15.75" x14ac:dyDescent="0.25">
      <c r="A15" s="19"/>
      <c r="B15" s="19"/>
      <c r="C15" s="19"/>
      <c r="D15" s="19"/>
      <c r="E15" s="19"/>
      <c r="F15" s="19"/>
    </row>
    <row r="16" spans="1:6" ht="15.75" x14ac:dyDescent="0.25">
      <c r="A16" s="19"/>
      <c r="B16" s="19"/>
      <c r="C16" s="19"/>
      <c r="D16" s="19"/>
      <c r="E16" s="19"/>
      <c r="F16" s="19"/>
    </row>
    <row r="17" spans="1:6" ht="15.75" x14ac:dyDescent="0.25">
      <c r="A17" s="19"/>
      <c r="B17" s="19"/>
      <c r="C17" s="19"/>
      <c r="D17" s="19"/>
      <c r="E17" s="19"/>
      <c r="F17" s="19"/>
    </row>
    <row r="18" spans="1:6" ht="15.75" x14ac:dyDescent="0.25">
      <c r="A18" s="1" t="s">
        <v>17</v>
      </c>
      <c r="B18" s="24"/>
      <c r="C18" s="24"/>
      <c r="D18" s="24"/>
      <c r="E18" s="24"/>
      <c r="F18" s="24"/>
    </row>
    <row r="19" spans="1:6" ht="15.75" x14ac:dyDescent="0.25">
      <c r="A19" s="2"/>
      <c r="B19" s="2"/>
      <c r="C19" s="2"/>
      <c r="D19" s="2"/>
      <c r="E19" s="2"/>
      <c r="F19" s="2"/>
    </row>
    <row r="20" spans="1:6" ht="15.75" x14ac:dyDescent="0.25">
      <c r="A20" s="2" t="s">
        <v>23</v>
      </c>
      <c r="B20" s="23"/>
      <c r="C20" s="2"/>
      <c r="D20" s="2"/>
      <c r="E20" s="2"/>
      <c r="F20" s="2"/>
    </row>
    <row r="21" spans="1:6" ht="15.75" x14ac:dyDescent="0.25">
      <c r="A21" s="2" t="s">
        <v>18</v>
      </c>
      <c r="B21" s="23"/>
      <c r="C21" s="2"/>
      <c r="D21" s="2"/>
      <c r="E21" s="2"/>
      <c r="F21" s="2"/>
    </row>
    <row r="22" spans="1:6" ht="15.75" x14ac:dyDescent="0.25">
      <c r="A22" s="2" t="s">
        <v>19</v>
      </c>
      <c r="B22" s="25"/>
      <c r="C22" s="2"/>
      <c r="D22" s="2"/>
      <c r="E22" s="2"/>
      <c r="F22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F22"/>
  <sheetViews>
    <sheetView workbookViewId="0">
      <selection activeCell="A2" sqref="A2:F22"/>
    </sheetView>
  </sheetViews>
  <sheetFormatPr baseColWidth="10" defaultRowHeight="15" x14ac:dyDescent="0.25"/>
  <cols>
    <col min="1" max="1" width="34.140625" customWidth="1"/>
  </cols>
  <sheetData>
    <row r="2" spans="1:6" ht="15.75" x14ac:dyDescent="0.25">
      <c r="A2" s="2" t="s">
        <v>16</v>
      </c>
      <c r="B2" s="2"/>
      <c r="C2" s="2"/>
      <c r="D2" s="2"/>
      <c r="E2" s="2"/>
      <c r="F2" s="2"/>
    </row>
    <row r="3" spans="1:6" ht="18.75" x14ac:dyDescent="0.25">
      <c r="A3" s="1" t="s">
        <v>2</v>
      </c>
      <c r="B3" s="1" t="s">
        <v>3</v>
      </c>
      <c r="C3" s="1" t="s">
        <v>4</v>
      </c>
      <c r="D3" s="1" t="s">
        <v>5</v>
      </c>
      <c r="E3" s="1" t="s">
        <v>21</v>
      </c>
      <c r="F3" s="1" t="s">
        <v>22</v>
      </c>
    </row>
    <row r="4" spans="1:6" ht="15.75" x14ac:dyDescent="0.25">
      <c r="A4" s="19">
        <v>0</v>
      </c>
      <c r="B4" s="19">
        <v>0</v>
      </c>
      <c r="C4" s="19">
        <f>A4*B4</f>
        <v>0</v>
      </c>
      <c r="D4" s="19">
        <f>A4-$B$9</f>
        <v>-10</v>
      </c>
      <c r="E4" s="19">
        <f>D4*D4</f>
        <v>100</v>
      </c>
      <c r="F4" s="19">
        <f>E4*B4</f>
        <v>0</v>
      </c>
    </row>
    <row r="5" spans="1:6" ht="15.75" x14ac:dyDescent="0.25">
      <c r="A5" s="19">
        <v>10</v>
      </c>
      <c r="B5" s="19">
        <v>2</v>
      </c>
      <c r="C5" s="19">
        <f t="shared" ref="C5:C6" si="0">A5*B5</f>
        <v>20</v>
      </c>
      <c r="D5" s="19">
        <f t="shared" ref="D5:D6" si="1">A5-$B$9</f>
        <v>0</v>
      </c>
      <c r="E5" s="19">
        <f t="shared" ref="E5:E6" si="2">D5*D5</f>
        <v>0</v>
      </c>
      <c r="F5" s="19">
        <f t="shared" ref="F5:F6" si="3">E5*B5</f>
        <v>0</v>
      </c>
    </row>
    <row r="6" spans="1:6" ht="15.75" x14ac:dyDescent="0.25">
      <c r="A6" s="19">
        <v>20</v>
      </c>
      <c r="B6" s="19">
        <v>0</v>
      </c>
      <c r="C6" s="19">
        <f t="shared" si="0"/>
        <v>0</v>
      </c>
      <c r="D6" s="19">
        <f t="shared" si="1"/>
        <v>10</v>
      </c>
      <c r="E6" s="19">
        <f t="shared" si="2"/>
        <v>100</v>
      </c>
      <c r="F6" s="19">
        <f t="shared" si="3"/>
        <v>0</v>
      </c>
    </row>
    <row r="7" spans="1:6" ht="15.75" x14ac:dyDescent="0.25">
      <c r="A7" s="1" t="s">
        <v>17</v>
      </c>
      <c r="B7" s="24">
        <f>SUM(B4:B6)</f>
        <v>2</v>
      </c>
      <c r="C7" s="24">
        <f>SUM(C4:C6)</f>
        <v>20</v>
      </c>
      <c r="D7" s="24">
        <f>SUM(D4:D6)</f>
        <v>0</v>
      </c>
      <c r="E7" s="24">
        <f>SUM(E4:E6)</f>
        <v>200</v>
      </c>
      <c r="F7" s="24">
        <f>SUM(F4:F6)</f>
        <v>0</v>
      </c>
    </row>
    <row r="8" spans="1:6" ht="15.75" x14ac:dyDescent="0.25">
      <c r="A8" s="2"/>
      <c r="B8" s="2"/>
      <c r="C8" s="2"/>
      <c r="D8" s="2"/>
      <c r="E8" s="2"/>
      <c r="F8" s="2"/>
    </row>
    <row r="9" spans="1:6" ht="15.75" x14ac:dyDescent="0.25">
      <c r="A9" s="2" t="s">
        <v>23</v>
      </c>
      <c r="B9" s="23">
        <f>C7/B7</f>
        <v>10</v>
      </c>
      <c r="C9" s="2"/>
      <c r="D9" s="2"/>
      <c r="E9" s="2"/>
      <c r="F9" s="2"/>
    </row>
    <row r="10" spans="1:6" ht="15.75" x14ac:dyDescent="0.25">
      <c r="A10" s="2" t="s">
        <v>18</v>
      </c>
      <c r="B10" s="23">
        <f>F7/B7</f>
        <v>0</v>
      </c>
      <c r="C10" s="2"/>
      <c r="D10" s="2"/>
      <c r="E10" s="2"/>
      <c r="F10" s="2"/>
    </row>
    <row r="11" spans="1:6" ht="15.75" x14ac:dyDescent="0.25">
      <c r="A11" s="2" t="s">
        <v>19</v>
      </c>
      <c r="B11" s="25">
        <f>SQRT(B10)</f>
        <v>0</v>
      </c>
      <c r="C11" s="2"/>
      <c r="D11" s="2"/>
      <c r="E11" s="2"/>
      <c r="F11" s="2"/>
    </row>
    <row r="12" spans="1:6" ht="15.75" x14ac:dyDescent="0.25">
      <c r="A12" s="2"/>
      <c r="B12" s="2"/>
      <c r="C12" s="2"/>
      <c r="D12" s="2"/>
      <c r="E12" s="2"/>
      <c r="F12" s="2"/>
    </row>
    <row r="13" spans="1:6" ht="15.75" x14ac:dyDescent="0.25">
      <c r="A13" s="2" t="s">
        <v>20</v>
      </c>
      <c r="B13" s="2"/>
      <c r="C13" s="2"/>
      <c r="D13" s="2"/>
      <c r="E13" s="2"/>
      <c r="F13" s="2"/>
    </row>
    <row r="14" spans="1:6" ht="18.75" x14ac:dyDescent="0.25">
      <c r="A14" s="1" t="s">
        <v>2</v>
      </c>
      <c r="B14" s="1" t="s">
        <v>3</v>
      </c>
      <c r="C14" s="1" t="s">
        <v>4</v>
      </c>
      <c r="D14" s="1" t="s">
        <v>5</v>
      </c>
      <c r="E14" s="1" t="s">
        <v>21</v>
      </c>
      <c r="F14" s="1" t="s">
        <v>22</v>
      </c>
    </row>
    <row r="15" spans="1:6" ht="15.75" x14ac:dyDescent="0.25">
      <c r="A15" s="19">
        <v>0</v>
      </c>
      <c r="B15" s="19">
        <v>1</v>
      </c>
      <c r="C15" s="19">
        <f>A15*B15</f>
        <v>0</v>
      </c>
      <c r="D15" s="19">
        <f>A15-$B$20</f>
        <v>-10</v>
      </c>
      <c r="E15" s="19">
        <f>D15*D15</f>
        <v>100</v>
      </c>
      <c r="F15" s="19">
        <f>E15*B15</f>
        <v>100</v>
      </c>
    </row>
    <row r="16" spans="1:6" ht="15.75" x14ac:dyDescent="0.25">
      <c r="A16" s="19">
        <v>10</v>
      </c>
      <c r="B16" s="19">
        <v>0</v>
      </c>
      <c r="C16" s="19">
        <f t="shared" ref="C16:C17" si="4">A16*B16</f>
        <v>0</v>
      </c>
      <c r="D16" s="19">
        <f t="shared" ref="D16:D17" si="5">A16-$B$20</f>
        <v>0</v>
      </c>
      <c r="E16" s="19">
        <f t="shared" ref="E16:E17" si="6">D16*D16</f>
        <v>0</v>
      </c>
      <c r="F16" s="19">
        <f t="shared" ref="F16:F17" si="7">E16*B16</f>
        <v>0</v>
      </c>
    </row>
    <row r="17" spans="1:6" ht="15.75" x14ac:dyDescent="0.25">
      <c r="A17" s="19">
        <v>20</v>
      </c>
      <c r="B17" s="19">
        <v>1</v>
      </c>
      <c r="C17" s="19">
        <f t="shared" si="4"/>
        <v>20</v>
      </c>
      <c r="D17" s="19">
        <f t="shared" si="5"/>
        <v>10</v>
      </c>
      <c r="E17" s="19">
        <f t="shared" si="6"/>
        <v>100</v>
      </c>
      <c r="F17" s="19">
        <f t="shared" si="7"/>
        <v>100</v>
      </c>
    </row>
    <row r="18" spans="1:6" ht="15.75" x14ac:dyDescent="0.25">
      <c r="A18" s="1" t="s">
        <v>17</v>
      </c>
      <c r="B18" s="24">
        <f>SUM(B15:B17)</f>
        <v>2</v>
      </c>
      <c r="C18" s="24">
        <f>SUM(C15:C17)</f>
        <v>20</v>
      </c>
      <c r="D18" s="24">
        <f>SUM(D15:D17)</f>
        <v>0</v>
      </c>
      <c r="E18" s="24">
        <f>SUM(E15:E17)</f>
        <v>200</v>
      </c>
      <c r="F18" s="24">
        <f>SUM(F15:F17)</f>
        <v>200</v>
      </c>
    </row>
    <row r="19" spans="1:6" ht="15.75" x14ac:dyDescent="0.25">
      <c r="A19" s="2"/>
      <c r="B19" s="2"/>
      <c r="C19" s="2"/>
      <c r="D19" s="2"/>
      <c r="E19" s="2"/>
      <c r="F19" s="2"/>
    </row>
    <row r="20" spans="1:6" ht="15.75" x14ac:dyDescent="0.25">
      <c r="A20" s="2" t="s">
        <v>23</v>
      </c>
      <c r="B20" s="23">
        <f>C18/B18</f>
        <v>10</v>
      </c>
      <c r="C20" s="2"/>
      <c r="D20" s="2"/>
      <c r="E20" s="2"/>
      <c r="F20" s="2"/>
    </row>
    <row r="21" spans="1:6" ht="15.75" x14ac:dyDescent="0.25">
      <c r="A21" s="2" t="s">
        <v>18</v>
      </c>
      <c r="B21" s="23">
        <f>F18/B18</f>
        <v>100</v>
      </c>
      <c r="C21" s="2"/>
      <c r="D21" s="2"/>
      <c r="E21" s="2"/>
      <c r="F21" s="2"/>
    </row>
    <row r="22" spans="1:6" ht="15.75" x14ac:dyDescent="0.25">
      <c r="A22" s="2" t="s">
        <v>19</v>
      </c>
      <c r="B22" s="25">
        <f>SQRT(B21)</f>
        <v>10</v>
      </c>
      <c r="C22" s="2"/>
      <c r="D22" s="2"/>
      <c r="E22" s="2"/>
      <c r="F22" s="2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G25"/>
  <sheetViews>
    <sheetView workbookViewId="0">
      <selection activeCell="B3" sqref="B3:G25"/>
    </sheetView>
  </sheetViews>
  <sheetFormatPr baseColWidth="10" defaultRowHeight="15" x14ac:dyDescent="0.25"/>
  <cols>
    <col min="1" max="1" width="17.7109375" customWidth="1"/>
    <col min="2" max="2" width="15.7109375" customWidth="1"/>
    <col min="3" max="3" width="15" customWidth="1"/>
    <col min="4" max="4" width="15.28515625" customWidth="1"/>
    <col min="5" max="5" width="15" customWidth="1"/>
    <col min="6" max="6" width="15.5703125" customWidth="1"/>
    <col min="7" max="7" width="16" customWidth="1"/>
  </cols>
  <sheetData>
    <row r="2" spans="1:7" x14ac:dyDescent="0.25">
      <c r="A2" t="s">
        <v>40</v>
      </c>
    </row>
    <row r="3" spans="1:7" ht="15.75" x14ac:dyDescent="0.25">
      <c r="A3" s="4" t="s">
        <v>2</v>
      </c>
      <c r="B3" s="19"/>
      <c r="C3" s="19"/>
      <c r="D3" s="19"/>
      <c r="E3" s="19"/>
      <c r="F3" s="19"/>
      <c r="G3" s="19"/>
    </row>
    <row r="4" spans="1:7" ht="15.75" x14ac:dyDescent="0.25">
      <c r="A4" s="4" t="s">
        <v>3</v>
      </c>
      <c r="B4" s="19"/>
      <c r="C4" s="19"/>
      <c r="D4" s="19"/>
      <c r="E4" s="19"/>
      <c r="F4" s="19"/>
      <c r="G4" s="19"/>
    </row>
    <row r="5" spans="1:7" ht="15.75" x14ac:dyDescent="0.25">
      <c r="A5" s="4" t="s">
        <v>4</v>
      </c>
      <c r="B5" s="19"/>
      <c r="C5" s="19"/>
      <c r="D5" s="19"/>
      <c r="E5" s="19"/>
      <c r="F5" s="19"/>
      <c r="G5" s="19"/>
    </row>
    <row r="6" spans="1:7" ht="15.75" x14ac:dyDescent="0.25">
      <c r="A6" s="4" t="s">
        <v>5</v>
      </c>
      <c r="B6" s="19"/>
      <c r="C6" s="19"/>
      <c r="D6" s="19"/>
      <c r="E6" s="19"/>
      <c r="F6" s="19"/>
      <c r="G6" s="19"/>
    </row>
    <row r="7" spans="1:7" ht="18.75" x14ac:dyDescent="0.25">
      <c r="A7" s="4" t="s">
        <v>11</v>
      </c>
      <c r="B7" s="26"/>
      <c r="C7" s="26"/>
      <c r="D7" s="26"/>
      <c r="E7" s="26"/>
      <c r="F7" s="26"/>
      <c r="G7" s="19"/>
    </row>
    <row r="8" spans="1:7" ht="18.75" x14ac:dyDescent="0.25">
      <c r="A8" s="4" t="s">
        <v>12</v>
      </c>
      <c r="B8" s="27"/>
      <c r="C8" s="27"/>
      <c r="D8" s="27"/>
      <c r="E8" s="27"/>
      <c r="F8" s="27"/>
      <c r="G8" s="27"/>
    </row>
    <row r="10" spans="1:7" ht="15.75" x14ac:dyDescent="0.25">
      <c r="A10" s="7" t="s">
        <v>13</v>
      </c>
      <c r="B10" s="29"/>
      <c r="C10" s="30"/>
    </row>
    <row r="11" spans="1:7" ht="15.75" x14ac:dyDescent="0.25">
      <c r="A11" s="7" t="s">
        <v>24</v>
      </c>
      <c r="B11" s="31"/>
      <c r="C11" s="32"/>
    </row>
    <row r="12" spans="1:7" ht="15.75" x14ac:dyDescent="0.25">
      <c r="A12" s="7" t="s">
        <v>25</v>
      </c>
      <c r="B12" s="29"/>
      <c r="C12" s="32"/>
    </row>
    <row r="15" spans="1:7" x14ac:dyDescent="0.25">
      <c r="A15" t="s">
        <v>41</v>
      </c>
    </row>
    <row r="16" spans="1:7" ht="15.75" x14ac:dyDescent="0.25">
      <c r="A16" s="8" t="s">
        <v>2</v>
      </c>
      <c r="B16" s="19"/>
      <c r="C16" s="19"/>
      <c r="D16" s="19"/>
      <c r="E16" s="19"/>
      <c r="F16" s="19"/>
      <c r="G16" s="28"/>
    </row>
    <row r="17" spans="1:7" ht="15.75" x14ac:dyDescent="0.25">
      <c r="A17" s="8" t="s">
        <v>3</v>
      </c>
      <c r="B17" s="19"/>
      <c r="C17" s="19"/>
      <c r="D17" s="19"/>
      <c r="E17" s="19"/>
      <c r="F17" s="19"/>
      <c r="G17" s="28"/>
    </row>
    <row r="18" spans="1:7" ht="15.75" x14ac:dyDescent="0.25">
      <c r="A18" s="4" t="s">
        <v>4</v>
      </c>
      <c r="B18" s="19"/>
      <c r="C18" s="19"/>
      <c r="D18" s="19"/>
      <c r="E18" s="19"/>
      <c r="F18" s="19"/>
      <c r="G18" s="19"/>
    </row>
    <row r="19" spans="1:7" ht="15.75" x14ac:dyDescent="0.25">
      <c r="A19" s="4" t="s">
        <v>5</v>
      </c>
      <c r="B19" s="19"/>
      <c r="C19" s="19"/>
      <c r="D19" s="19"/>
      <c r="E19" s="19"/>
      <c r="F19" s="19"/>
      <c r="G19" s="19"/>
    </row>
    <row r="20" spans="1:7" ht="18.75" x14ac:dyDescent="0.25">
      <c r="A20" s="4" t="s">
        <v>11</v>
      </c>
      <c r="B20" s="26"/>
      <c r="C20" s="26"/>
      <c r="D20" s="26"/>
      <c r="E20" s="26"/>
      <c r="F20" s="26"/>
      <c r="G20" s="19"/>
    </row>
    <row r="21" spans="1:7" ht="18.75" x14ac:dyDescent="0.25">
      <c r="A21" s="4" t="s">
        <v>12</v>
      </c>
      <c r="B21" s="27"/>
      <c r="C21" s="27"/>
      <c r="D21" s="27"/>
      <c r="E21" s="27"/>
      <c r="F21" s="27"/>
      <c r="G21" s="27"/>
    </row>
    <row r="23" spans="1:7" ht="15.75" x14ac:dyDescent="0.25">
      <c r="A23" s="7" t="s">
        <v>13</v>
      </c>
      <c r="B23" s="29"/>
      <c r="C23" s="30"/>
    </row>
    <row r="24" spans="1:7" ht="15.75" x14ac:dyDescent="0.25">
      <c r="A24" s="7" t="s">
        <v>24</v>
      </c>
      <c r="B24" s="31"/>
      <c r="C24" s="32"/>
    </row>
    <row r="25" spans="1:7" ht="15.75" x14ac:dyDescent="0.25">
      <c r="A25" s="7" t="s">
        <v>25</v>
      </c>
      <c r="B25" s="29"/>
      <c r="C25" s="3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G25"/>
  <sheetViews>
    <sheetView topLeftCell="A4" workbookViewId="0">
      <selection activeCell="G18" sqref="G18"/>
    </sheetView>
  </sheetViews>
  <sheetFormatPr baseColWidth="10" defaultRowHeight="15" x14ac:dyDescent="0.25"/>
  <cols>
    <col min="1" max="1" width="34.42578125" customWidth="1"/>
    <col min="2" max="2" width="12.42578125" bestFit="1" customWidth="1"/>
    <col min="3" max="3" width="13.140625" customWidth="1"/>
    <col min="4" max="5" width="11.5703125" bestFit="1" customWidth="1"/>
    <col min="6" max="7" width="12.42578125" bestFit="1" customWidth="1"/>
  </cols>
  <sheetData>
    <row r="2" spans="1:7" x14ac:dyDescent="0.25">
      <c r="A2" t="s">
        <v>40</v>
      </c>
    </row>
    <row r="3" spans="1:7" ht="15.75" x14ac:dyDescent="0.25">
      <c r="A3" s="4" t="s">
        <v>2</v>
      </c>
      <c r="B3" s="19">
        <v>14</v>
      </c>
      <c r="C3" s="19">
        <v>24</v>
      </c>
      <c r="D3" s="19">
        <v>35</v>
      </c>
      <c r="E3" s="19">
        <v>45</v>
      </c>
      <c r="F3" s="19">
        <v>55</v>
      </c>
      <c r="G3" s="19"/>
    </row>
    <row r="4" spans="1:7" ht="15.75" x14ac:dyDescent="0.25">
      <c r="A4" s="4" t="s">
        <v>3</v>
      </c>
      <c r="B4" s="19">
        <v>34</v>
      </c>
      <c r="C4" s="19">
        <v>33</v>
      </c>
      <c r="D4" s="19">
        <v>62</v>
      </c>
      <c r="E4" s="19">
        <v>58</v>
      </c>
      <c r="F4" s="19">
        <v>69</v>
      </c>
      <c r="G4" s="19">
        <f>SUM(B4:F4)</f>
        <v>256</v>
      </c>
    </row>
    <row r="5" spans="1:7" ht="15.75" x14ac:dyDescent="0.25">
      <c r="A5" s="4" t="s">
        <v>4</v>
      </c>
      <c r="B5" s="19">
        <f>B3*B4</f>
        <v>476</v>
      </c>
      <c r="C5" s="19">
        <f t="shared" ref="C5:F5" si="0">C3*C4</f>
        <v>792</v>
      </c>
      <c r="D5" s="19">
        <f t="shared" si="0"/>
        <v>2170</v>
      </c>
      <c r="E5" s="19">
        <f t="shared" si="0"/>
        <v>2610</v>
      </c>
      <c r="F5" s="19">
        <f t="shared" si="0"/>
        <v>3795</v>
      </c>
      <c r="G5" s="19">
        <f>SUM(B5:F5)</f>
        <v>9843</v>
      </c>
    </row>
    <row r="6" spans="1:7" ht="15.75" x14ac:dyDescent="0.25">
      <c r="A6" s="4" t="s">
        <v>5</v>
      </c>
      <c r="B6" s="19">
        <f>B3-$C$10</f>
        <v>-24.450000000000003</v>
      </c>
      <c r="C6" s="19">
        <f t="shared" ref="C6:F6" si="1">C3-$C$10</f>
        <v>-14.450000000000003</v>
      </c>
      <c r="D6" s="19">
        <f t="shared" si="1"/>
        <v>-3.4500000000000028</v>
      </c>
      <c r="E6" s="19">
        <f t="shared" si="1"/>
        <v>6.5499999999999972</v>
      </c>
      <c r="F6" s="19">
        <f t="shared" si="1"/>
        <v>16.549999999999997</v>
      </c>
      <c r="G6" s="19"/>
    </row>
    <row r="7" spans="1:7" ht="18.75" x14ac:dyDescent="0.25">
      <c r="A7" s="4" t="s">
        <v>11</v>
      </c>
      <c r="B7" s="26">
        <f>B6*B6</f>
        <v>597.80250000000012</v>
      </c>
      <c r="C7" s="26">
        <f t="shared" ref="C7:F7" si="2">C6*C6</f>
        <v>208.80250000000009</v>
      </c>
      <c r="D7" s="26">
        <f t="shared" si="2"/>
        <v>11.902500000000019</v>
      </c>
      <c r="E7" s="26">
        <f t="shared" si="2"/>
        <v>42.902499999999961</v>
      </c>
      <c r="F7" s="26">
        <f t="shared" si="2"/>
        <v>273.90249999999992</v>
      </c>
      <c r="G7" s="19"/>
    </row>
    <row r="8" spans="1:7" ht="18.75" x14ac:dyDescent="0.25">
      <c r="A8" s="4" t="s">
        <v>12</v>
      </c>
      <c r="B8" s="27">
        <f>B7*B4</f>
        <v>20325.285000000003</v>
      </c>
      <c r="C8" s="27">
        <f t="shared" ref="C8:F8" si="3">C7*C4</f>
        <v>6890.4825000000028</v>
      </c>
      <c r="D8" s="27">
        <f t="shared" si="3"/>
        <v>737.95500000000118</v>
      </c>
      <c r="E8" s="27">
        <f t="shared" si="3"/>
        <v>2488.3449999999975</v>
      </c>
      <c r="F8" s="27">
        <f t="shared" si="3"/>
        <v>18899.272499999995</v>
      </c>
      <c r="G8" s="27">
        <f>SUM(B8:F8)</f>
        <v>49341.34</v>
      </c>
    </row>
    <row r="10" spans="1:7" ht="15.75" x14ac:dyDescent="0.25">
      <c r="A10" s="7" t="s">
        <v>13</v>
      </c>
      <c r="B10" s="29">
        <f>G5/G4</f>
        <v>38.44921875</v>
      </c>
      <c r="C10" s="30">
        <v>38.450000000000003</v>
      </c>
    </row>
    <row r="11" spans="1:7" ht="15.75" x14ac:dyDescent="0.25">
      <c r="A11" s="7" t="s">
        <v>24</v>
      </c>
      <c r="B11" s="31">
        <f>G8/G4</f>
        <v>192.73960937499999</v>
      </c>
      <c r="C11" s="32"/>
    </row>
    <row r="12" spans="1:7" ht="15.75" x14ac:dyDescent="0.25">
      <c r="A12" s="7" t="s">
        <v>25</v>
      </c>
      <c r="B12" s="29">
        <f>SQRT(B11)</f>
        <v>13.88306916265276</v>
      </c>
      <c r="C12" s="32"/>
    </row>
    <row r="15" spans="1:7" x14ac:dyDescent="0.25">
      <c r="A15" t="s">
        <v>41</v>
      </c>
    </row>
    <row r="16" spans="1:7" ht="15.75" x14ac:dyDescent="0.25">
      <c r="A16" s="8" t="s">
        <v>2</v>
      </c>
      <c r="B16" s="19">
        <v>14</v>
      </c>
      <c r="C16" s="19">
        <v>24</v>
      </c>
      <c r="D16" s="19">
        <v>35</v>
      </c>
      <c r="E16" s="19">
        <v>45</v>
      </c>
      <c r="F16" s="19">
        <v>55</v>
      </c>
      <c r="G16" s="28"/>
    </row>
    <row r="17" spans="1:7" ht="15.75" x14ac:dyDescent="0.25">
      <c r="A17" s="8" t="s">
        <v>3</v>
      </c>
      <c r="B17" s="19">
        <v>1</v>
      </c>
      <c r="C17" s="19">
        <v>55</v>
      </c>
      <c r="D17" s="19">
        <v>36</v>
      </c>
      <c r="E17" s="19">
        <v>13</v>
      </c>
      <c r="F17" s="19">
        <v>2</v>
      </c>
      <c r="G17" s="28">
        <f>SUM(B17:F17)</f>
        <v>107</v>
      </c>
    </row>
    <row r="18" spans="1:7" ht="15.75" x14ac:dyDescent="0.25">
      <c r="A18" s="4" t="s">
        <v>4</v>
      </c>
      <c r="B18" s="19">
        <f>B16*B17</f>
        <v>14</v>
      </c>
      <c r="C18" s="19">
        <f t="shared" ref="C18" si="4">C16*C17</f>
        <v>1320</v>
      </c>
      <c r="D18" s="19">
        <f t="shared" ref="D18" si="5">D16*D17</f>
        <v>1260</v>
      </c>
      <c r="E18" s="19">
        <f t="shared" ref="E18" si="6">E16*E17</f>
        <v>585</v>
      </c>
      <c r="F18" s="19">
        <f t="shared" ref="F18" si="7">F16*F17</f>
        <v>110</v>
      </c>
      <c r="G18" s="19">
        <f>SUM(B18:F18)</f>
        <v>3289</v>
      </c>
    </row>
    <row r="19" spans="1:7" ht="15.75" x14ac:dyDescent="0.25">
      <c r="A19" s="4" t="s">
        <v>5</v>
      </c>
      <c r="B19" s="19">
        <f>B16-$C$23</f>
        <v>-16.7</v>
      </c>
      <c r="C19" s="19">
        <f t="shared" ref="C19:F19" si="8">C16-$C$23</f>
        <v>-6.6999999999999993</v>
      </c>
      <c r="D19" s="19">
        <f t="shared" si="8"/>
        <v>4.3000000000000007</v>
      </c>
      <c r="E19" s="19">
        <f t="shared" si="8"/>
        <v>14.3</v>
      </c>
      <c r="F19" s="19">
        <f t="shared" si="8"/>
        <v>24.3</v>
      </c>
      <c r="G19" s="19"/>
    </row>
    <row r="20" spans="1:7" ht="18.75" x14ac:dyDescent="0.25">
      <c r="A20" s="4" t="s">
        <v>11</v>
      </c>
      <c r="B20" s="26">
        <f>B19*B19</f>
        <v>278.89</v>
      </c>
      <c r="C20" s="26">
        <f t="shared" ref="C20" si="9">C19*C19</f>
        <v>44.889999999999993</v>
      </c>
      <c r="D20" s="26">
        <f t="shared" ref="D20" si="10">D19*D19</f>
        <v>18.490000000000006</v>
      </c>
      <c r="E20" s="26">
        <f t="shared" ref="E20" si="11">E19*E19</f>
        <v>204.49</v>
      </c>
      <c r="F20" s="26">
        <f t="shared" ref="F20" si="12">F19*F19</f>
        <v>590.49</v>
      </c>
      <c r="G20" s="19"/>
    </row>
    <row r="21" spans="1:7" ht="18.75" x14ac:dyDescent="0.25">
      <c r="A21" s="4" t="s">
        <v>12</v>
      </c>
      <c r="B21" s="27">
        <f>B20*B17</f>
        <v>278.89</v>
      </c>
      <c r="C21" s="27">
        <f t="shared" ref="C21" si="13">C20*C17</f>
        <v>2468.9499999999998</v>
      </c>
      <c r="D21" s="27">
        <f t="shared" ref="D21" si="14">D20*D17</f>
        <v>665.64000000000021</v>
      </c>
      <c r="E21" s="27">
        <f t="shared" ref="E21" si="15">E20*E17</f>
        <v>2658.37</v>
      </c>
      <c r="F21" s="27">
        <f t="shared" ref="F21" si="16">F20*F17</f>
        <v>1180.98</v>
      </c>
      <c r="G21" s="27">
        <f>SUM(B21:F21)</f>
        <v>7252.83</v>
      </c>
    </row>
    <row r="23" spans="1:7" ht="15.75" x14ac:dyDescent="0.25">
      <c r="A23" s="7" t="s">
        <v>13</v>
      </c>
      <c r="B23" s="29">
        <f>G18/G17</f>
        <v>30.738317757009344</v>
      </c>
      <c r="C23" s="30">
        <v>30.7</v>
      </c>
    </row>
    <row r="24" spans="1:7" ht="15.75" x14ac:dyDescent="0.25">
      <c r="A24" s="7" t="s">
        <v>24</v>
      </c>
      <c r="B24" s="31">
        <f>G21/G17</f>
        <v>67.783457943925228</v>
      </c>
      <c r="C24" s="32"/>
    </row>
    <row r="25" spans="1:7" ht="15.75" x14ac:dyDescent="0.25">
      <c r="A25" s="7" t="s">
        <v>25</v>
      </c>
      <c r="B25" s="29">
        <f>SQRT(B24)</f>
        <v>8.23307099106556</v>
      </c>
      <c r="C25" s="3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2:F4"/>
  <sheetViews>
    <sheetView workbookViewId="0">
      <selection activeCell="F3" sqref="F3"/>
    </sheetView>
  </sheetViews>
  <sheetFormatPr baseColWidth="10" defaultRowHeight="15" x14ac:dyDescent="0.25"/>
  <cols>
    <col min="1" max="1" width="23.5703125" customWidth="1"/>
  </cols>
  <sheetData>
    <row r="2" spans="1:6" ht="15.75" x14ac:dyDescent="0.25">
      <c r="A2" s="9" t="s">
        <v>26</v>
      </c>
      <c r="B2" s="10" t="s">
        <v>27</v>
      </c>
      <c r="C2" s="10" t="s">
        <v>28</v>
      </c>
      <c r="D2" s="10" t="s">
        <v>29</v>
      </c>
      <c r="E2" s="10" t="s">
        <v>30</v>
      </c>
      <c r="F2" s="10" t="s">
        <v>0</v>
      </c>
    </row>
    <row r="3" spans="1:6" ht="15.75" x14ac:dyDescent="0.25">
      <c r="A3" s="9" t="s">
        <v>31</v>
      </c>
      <c r="B3" s="11">
        <v>1224</v>
      </c>
      <c r="C3" s="9">
        <v>1310</v>
      </c>
      <c r="D3" s="9">
        <v>1245</v>
      </c>
      <c r="E3" s="9">
        <v>1420</v>
      </c>
      <c r="F3" s="11">
        <v>1427</v>
      </c>
    </row>
    <row r="4" spans="1:6" ht="15.75" x14ac:dyDescent="0.25">
      <c r="A4" s="9" t="s">
        <v>32</v>
      </c>
      <c r="B4" s="33"/>
      <c r="C4" s="34"/>
      <c r="D4" s="34"/>
      <c r="E4" s="34"/>
      <c r="F4" s="34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2:F4"/>
  <sheetViews>
    <sheetView workbookViewId="0">
      <selection activeCell="F4" sqref="F4"/>
    </sheetView>
  </sheetViews>
  <sheetFormatPr baseColWidth="10" defaultRowHeight="15" x14ac:dyDescent="0.25"/>
  <cols>
    <col min="1" max="1" width="34.42578125" customWidth="1"/>
  </cols>
  <sheetData>
    <row r="2" spans="1:6" ht="15.75" x14ac:dyDescent="0.25">
      <c r="A2" s="9" t="s">
        <v>26</v>
      </c>
      <c r="B2" s="10" t="s">
        <v>27</v>
      </c>
      <c r="C2" s="10" t="s">
        <v>28</v>
      </c>
      <c r="D2" s="10" t="s">
        <v>29</v>
      </c>
      <c r="E2" s="10" t="s">
        <v>30</v>
      </c>
      <c r="F2" s="10" t="s">
        <v>0</v>
      </c>
    </row>
    <row r="3" spans="1:6" ht="15.75" x14ac:dyDescent="0.25">
      <c r="A3" s="9" t="s">
        <v>31</v>
      </c>
      <c r="B3" s="11">
        <v>1224</v>
      </c>
      <c r="C3" s="9">
        <v>1310</v>
      </c>
      <c r="D3" s="9">
        <v>1245</v>
      </c>
      <c r="E3" s="9">
        <v>1420</v>
      </c>
      <c r="F3" s="11">
        <v>1427</v>
      </c>
    </row>
    <row r="4" spans="1:6" ht="15.75" x14ac:dyDescent="0.25">
      <c r="A4" s="9" t="s">
        <v>32</v>
      </c>
      <c r="B4" s="33" t="s">
        <v>33</v>
      </c>
      <c r="C4" s="34">
        <f>C3/B3-1</f>
        <v>7.0261437908496704E-2</v>
      </c>
      <c r="D4" s="34">
        <f t="shared" ref="D4:F4" si="0">D3/C3-1</f>
        <v>-4.961832061068705E-2</v>
      </c>
      <c r="E4" s="34">
        <f t="shared" si="0"/>
        <v>0.14056224899598391</v>
      </c>
      <c r="F4" s="34">
        <f t="shared" si="0"/>
        <v>4.9295774647888368E-3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2:B7"/>
  <sheetViews>
    <sheetView topLeftCell="A7" workbookViewId="0">
      <selection activeCell="B3" sqref="B3:B7"/>
    </sheetView>
  </sheetViews>
  <sheetFormatPr baseColWidth="10" defaultRowHeight="15" x14ac:dyDescent="0.25"/>
  <sheetData>
    <row r="2" spans="1:2" ht="15.75" x14ac:dyDescent="0.25">
      <c r="A2" s="1" t="s">
        <v>26</v>
      </c>
      <c r="B2" s="1" t="s">
        <v>43</v>
      </c>
    </row>
    <row r="3" spans="1:2" ht="15.75" x14ac:dyDescent="0.25">
      <c r="A3" s="1" t="s">
        <v>28</v>
      </c>
      <c r="B3" s="19"/>
    </row>
    <row r="4" spans="1:2" ht="15.75" x14ac:dyDescent="0.25">
      <c r="A4" s="1" t="s">
        <v>29</v>
      </c>
      <c r="B4" s="19"/>
    </row>
    <row r="5" spans="1:2" ht="15.75" x14ac:dyDescent="0.25">
      <c r="A5" s="1" t="s">
        <v>30</v>
      </c>
      <c r="B5" s="19"/>
    </row>
    <row r="6" spans="1:2" ht="15.75" x14ac:dyDescent="0.25">
      <c r="A6" s="1" t="s">
        <v>0</v>
      </c>
      <c r="B6" s="19"/>
    </row>
    <row r="7" spans="1:2" ht="15.75" x14ac:dyDescent="0.25">
      <c r="A7" s="1" t="s">
        <v>42</v>
      </c>
      <c r="B7" s="19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2:B7"/>
  <sheetViews>
    <sheetView workbookViewId="0">
      <selection activeCell="A2" sqref="A2:B7"/>
    </sheetView>
  </sheetViews>
  <sheetFormatPr baseColWidth="10" defaultRowHeight="15" x14ac:dyDescent="0.25"/>
  <sheetData>
    <row r="2" spans="1:2" ht="15.75" x14ac:dyDescent="0.25">
      <c r="A2" s="1" t="s">
        <v>26</v>
      </c>
      <c r="B2" s="1" t="s">
        <v>43</v>
      </c>
    </row>
    <row r="3" spans="1:2" ht="15.75" x14ac:dyDescent="0.25">
      <c r="A3" s="1" t="s">
        <v>28</v>
      </c>
      <c r="B3" s="19">
        <v>1800</v>
      </c>
    </row>
    <row r="4" spans="1:2" ht="15.75" x14ac:dyDescent="0.25">
      <c r="A4" s="1" t="s">
        <v>29</v>
      </c>
      <c r="B4" s="19">
        <v>2000</v>
      </c>
    </row>
    <row r="5" spans="1:2" ht="15.75" x14ac:dyDescent="0.25">
      <c r="A5" s="1" t="s">
        <v>30</v>
      </c>
      <c r="B5" s="19">
        <v>2320</v>
      </c>
    </row>
    <row r="6" spans="1:2" ht="15.75" x14ac:dyDescent="0.25">
      <c r="A6" s="1" t="s">
        <v>0</v>
      </c>
      <c r="B6" s="19">
        <v>2800</v>
      </c>
    </row>
    <row r="7" spans="1:2" ht="15.75" x14ac:dyDescent="0.25">
      <c r="A7" s="1" t="s">
        <v>42</v>
      </c>
      <c r="B7" s="19">
        <f>SUM(B3:B6)</f>
        <v>8920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D10"/>
  <sheetViews>
    <sheetView workbookViewId="0">
      <selection activeCell="B9" sqref="B9:B10"/>
    </sheetView>
  </sheetViews>
  <sheetFormatPr baseColWidth="10" defaultRowHeight="15" x14ac:dyDescent="0.25"/>
  <cols>
    <col min="1" max="1" width="13" customWidth="1"/>
    <col min="2" max="2" width="12.85546875" customWidth="1"/>
    <col min="3" max="3" width="13.5703125" customWidth="1"/>
    <col min="4" max="4" width="13.7109375" customWidth="1"/>
  </cols>
  <sheetData>
    <row r="1" spans="1:4" ht="15.75" thickBot="1" x14ac:dyDescent="0.3"/>
    <row r="2" spans="1:4" ht="19.5" thickBot="1" x14ac:dyDescent="0.3">
      <c r="A2" s="5" t="s">
        <v>2</v>
      </c>
      <c r="B2" s="6" t="s">
        <v>34</v>
      </c>
      <c r="C2" s="6" t="s">
        <v>35</v>
      </c>
      <c r="D2" s="6" t="s">
        <v>36</v>
      </c>
    </row>
    <row r="3" spans="1:4" ht="16.5" thickBot="1" x14ac:dyDescent="0.3">
      <c r="A3" s="35"/>
      <c r="B3" s="36"/>
      <c r="C3" s="36"/>
      <c r="D3" s="36"/>
    </row>
    <row r="4" spans="1:4" ht="16.5" thickBot="1" x14ac:dyDescent="0.3">
      <c r="A4" s="35"/>
      <c r="B4" s="36"/>
      <c r="C4" s="36"/>
      <c r="D4" s="36"/>
    </row>
    <row r="5" spans="1:4" ht="16.5" thickBot="1" x14ac:dyDescent="0.3">
      <c r="A5" s="35"/>
      <c r="B5" s="36"/>
      <c r="C5" s="36"/>
      <c r="D5" s="36"/>
    </row>
    <row r="6" spans="1:4" ht="16.5" thickBot="1" x14ac:dyDescent="0.3">
      <c r="A6" s="35"/>
      <c r="B6" s="36"/>
      <c r="C6" s="36"/>
      <c r="D6" s="36"/>
    </row>
    <row r="7" spans="1:4" ht="16.5" thickBot="1" x14ac:dyDescent="0.3">
      <c r="A7" s="37"/>
      <c r="B7" s="37"/>
      <c r="C7" s="37"/>
      <c r="D7" s="37"/>
    </row>
    <row r="8" spans="1:4" ht="15.75" x14ac:dyDescent="0.25">
      <c r="A8" s="2"/>
      <c r="B8" s="2"/>
      <c r="C8" s="2"/>
      <c r="D8" s="2"/>
    </row>
    <row r="9" spans="1:4" ht="15.75" x14ac:dyDescent="0.25">
      <c r="A9" s="2" t="s">
        <v>37</v>
      </c>
      <c r="B9" s="23"/>
      <c r="C9" s="2"/>
      <c r="D9" s="2"/>
    </row>
    <row r="10" spans="1:4" ht="15.75" x14ac:dyDescent="0.25">
      <c r="A10" s="2" t="s">
        <v>38</v>
      </c>
      <c r="B10" s="23"/>
      <c r="C10" s="2"/>
      <c r="D10" s="2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E10"/>
  <sheetViews>
    <sheetView workbookViewId="0">
      <selection activeCell="A2" sqref="A2:D10"/>
    </sheetView>
  </sheetViews>
  <sheetFormatPr baseColWidth="10" defaultRowHeight="15.75" x14ac:dyDescent="0.25"/>
  <cols>
    <col min="1" max="5" width="11.42578125" style="2"/>
  </cols>
  <sheetData>
    <row r="1" spans="1:4" ht="16.5" thickBot="1" x14ac:dyDescent="0.3"/>
    <row r="2" spans="1:4" ht="19.5" thickBot="1" x14ac:dyDescent="0.3">
      <c r="A2" s="5" t="s">
        <v>2</v>
      </c>
      <c r="B2" s="6" t="s">
        <v>34</v>
      </c>
      <c r="C2" s="6" t="s">
        <v>35</v>
      </c>
      <c r="D2" s="6" t="s">
        <v>36</v>
      </c>
    </row>
    <row r="3" spans="1:4" ht="16.5" thickBot="1" x14ac:dyDescent="0.3">
      <c r="A3" s="35">
        <v>1</v>
      </c>
      <c r="B3" s="36">
        <v>1800</v>
      </c>
      <c r="C3" s="36">
        <f>A3*A3</f>
        <v>1</v>
      </c>
      <c r="D3" s="36">
        <f>A3*B3</f>
        <v>1800</v>
      </c>
    </row>
    <row r="4" spans="1:4" ht="16.5" thickBot="1" x14ac:dyDescent="0.3">
      <c r="A4" s="35">
        <v>2</v>
      </c>
      <c r="B4" s="36">
        <v>2000</v>
      </c>
      <c r="C4" s="36">
        <f t="shared" ref="C4:C6" si="0">A4*A4</f>
        <v>4</v>
      </c>
      <c r="D4" s="36">
        <f t="shared" ref="D4:D6" si="1">A4*B4</f>
        <v>4000</v>
      </c>
    </row>
    <row r="5" spans="1:4" ht="16.5" thickBot="1" x14ac:dyDescent="0.3">
      <c r="A5" s="35">
        <v>3</v>
      </c>
      <c r="B5" s="36">
        <v>2320</v>
      </c>
      <c r="C5" s="36">
        <f t="shared" si="0"/>
        <v>9</v>
      </c>
      <c r="D5" s="36">
        <f t="shared" si="1"/>
        <v>6960</v>
      </c>
    </row>
    <row r="6" spans="1:4" ht="16.5" thickBot="1" x14ac:dyDescent="0.3">
      <c r="A6" s="35">
        <v>4</v>
      </c>
      <c r="B6" s="36">
        <v>2800</v>
      </c>
      <c r="C6" s="36">
        <f t="shared" si="0"/>
        <v>16</v>
      </c>
      <c r="D6" s="36">
        <f t="shared" si="1"/>
        <v>11200</v>
      </c>
    </row>
    <row r="7" spans="1:4" ht="16.5" thickBot="1" x14ac:dyDescent="0.3">
      <c r="A7" s="37">
        <f>SUM(A3:A6)</f>
        <v>10</v>
      </c>
      <c r="B7" s="37">
        <f t="shared" ref="B7:D7" si="2">SUM(B3:B6)</f>
        <v>8920</v>
      </c>
      <c r="C7" s="37">
        <f t="shared" si="2"/>
        <v>30</v>
      </c>
      <c r="D7" s="37">
        <f t="shared" si="2"/>
        <v>23960</v>
      </c>
    </row>
    <row r="9" spans="1:4" x14ac:dyDescent="0.25">
      <c r="A9" s="2" t="s">
        <v>37</v>
      </c>
      <c r="B9" s="23">
        <f>A7/A6</f>
        <v>2.5</v>
      </c>
    </row>
    <row r="10" spans="1:4" x14ac:dyDescent="0.25">
      <c r="A10" s="2" t="s">
        <v>38</v>
      </c>
      <c r="B10" s="23">
        <f>B7/A6</f>
        <v>2230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"/>
  <sheetViews>
    <sheetView workbookViewId="0">
      <selection activeCell="H23" sqref="H23"/>
    </sheetView>
  </sheetViews>
  <sheetFormatPr baseColWidth="10" defaultRowHeight="15" x14ac:dyDescent="0.25"/>
  <sheetData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D10"/>
  <sheetViews>
    <sheetView workbookViewId="0">
      <selection sqref="A1:D10"/>
    </sheetView>
  </sheetViews>
  <sheetFormatPr baseColWidth="10" defaultRowHeight="15" x14ac:dyDescent="0.25"/>
  <sheetData>
    <row r="1" spans="1:4" ht="15.75" thickBot="1" x14ac:dyDescent="0.3"/>
    <row r="2" spans="1:4" ht="19.5" thickBot="1" x14ac:dyDescent="0.3">
      <c r="A2" s="5" t="s">
        <v>2</v>
      </c>
      <c r="B2" s="6" t="s">
        <v>34</v>
      </c>
      <c r="C2" s="6" t="s">
        <v>35</v>
      </c>
      <c r="D2" s="6" t="s">
        <v>36</v>
      </c>
    </row>
    <row r="3" spans="1:4" ht="16.5" thickBot="1" x14ac:dyDescent="0.3">
      <c r="A3" s="35">
        <v>1</v>
      </c>
      <c r="B3" s="36">
        <v>1100</v>
      </c>
      <c r="C3" s="36">
        <f>A3*A3</f>
        <v>1</v>
      </c>
      <c r="D3" s="36">
        <f>A3*B3</f>
        <v>1100</v>
      </c>
    </row>
    <row r="4" spans="1:4" ht="16.5" thickBot="1" x14ac:dyDescent="0.3">
      <c r="A4" s="35">
        <v>2</v>
      </c>
      <c r="B4" s="36">
        <v>1130</v>
      </c>
      <c r="C4" s="36">
        <f t="shared" ref="C4:C6" si="0">A4*A4</f>
        <v>4</v>
      </c>
      <c r="D4" s="36">
        <f t="shared" ref="D4:D6" si="1">A4*B4</f>
        <v>2260</v>
      </c>
    </row>
    <row r="5" spans="1:4" ht="16.5" thickBot="1" x14ac:dyDescent="0.3">
      <c r="A5" s="35">
        <v>3</v>
      </c>
      <c r="B5" s="36">
        <v>1160</v>
      </c>
      <c r="C5" s="36">
        <f t="shared" si="0"/>
        <v>9</v>
      </c>
      <c r="D5" s="36">
        <f t="shared" si="1"/>
        <v>3480</v>
      </c>
    </row>
    <row r="6" spans="1:4" ht="16.5" thickBot="1" x14ac:dyDescent="0.3">
      <c r="A6" s="35">
        <v>4</v>
      </c>
      <c r="B6" s="36">
        <v>1190</v>
      </c>
      <c r="C6" s="36">
        <f t="shared" si="0"/>
        <v>16</v>
      </c>
      <c r="D6" s="36">
        <f t="shared" si="1"/>
        <v>4760</v>
      </c>
    </row>
    <row r="7" spans="1:4" ht="16.5" thickBot="1" x14ac:dyDescent="0.3">
      <c r="A7" s="37">
        <f>SUM(A3:A6)</f>
        <v>10</v>
      </c>
      <c r="B7" s="37">
        <f t="shared" ref="B7:D7" si="2">SUM(B3:B6)</f>
        <v>4580</v>
      </c>
      <c r="C7" s="37">
        <f t="shared" si="2"/>
        <v>30</v>
      </c>
      <c r="D7" s="37">
        <f t="shared" si="2"/>
        <v>11600</v>
      </c>
    </row>
    <row r="8" spans="1:4" ht="15.75" x14ac:dyDescent="0.25">
      <c r="A8" s="2"/>
      <c r="B8" s="2"/>
      <c r="C8" s="2"/>
      <c r="D8" s="2"/>
    </row>
    <row r="9" spans="1:4" ht="15.75" x14ac:dyDescent="0.25">
      <c r="A9" s="2" t="s">
        <v>37</v>
      </c>
      <c r="B9" s="23">
        <f>A7/A6</f>
        <v>2.5</v>
      </c>
      <c r="C9" s="2"/>
      <c r="D9" s="2"/>
    </row>
    <row r="10" spans="1:4" ht="15.75" x14ac:dyDescent="0.25">
      <c r="A10" s="2" t="s">
        <v>38</v>
      </c>
      <c r="B10" s="23">
        <f>B7/A6</f>
        <v>1145</v>
      </c>
      <c r="C10" s="2"/>
      <c r="D10" s="2"/>
    </row>
  </sheetData>
  <pageMargins left="0.7" right="0.7" top="0.75" bottom="0.75" header="0.3" footer="0.3"/>
  <pageSetup paperSize="9" orientation="portrait" horizontalDpi="200" verticalDpi="20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D15"/>
  <sheetViews>
    <sheetView workbookViewId="0">
      <selection activeCell="I17" sqref="I17"/>
    </sheetView>
  </sheetViews>
  <sheetFormatPr baseColWidth="10" defaultRowHeight="15" x14ac:dyDescent="0.25"/>
  <sheetData>
    <row r="1" spans="1:4" ht="15.75" thickBot="1" x14ac:dyDescent="0.3"/>
    <row r="2" spans="1:4" ht="19.5" thickBot="1" x14ac:dyDescent="0.3">
      <c r="A2" s="5" t="s">
        <v>2</v>
      </c>
      <c r="B2" s="6" t="s">
        <v>34</v>
      </c>
      <c r="C2" s="6" t="s">
        <v>35</v>
      </c>
      <c r="D2" s="6" t="s">
        <v>36</v>
      </c>
    </row>
    <row r="3" spans="1:4" ht="16.5" thickBot="1" x14ac:dyDescent="0.3">
      <c r="A3" s="47">
        <v>1</v>
      </c>
      <c r="B3" s="49"/>
      <c r="C3" s="36"/>
      <c r="D3" s="49"/>
    </row>
    <row r="4" spans="1:4" ht="16.5" thickBot="1" x14ac:dyDescent="0.3">
      <c r="A4" s="47">
        <v>2</v>
      </c>
      <c r="B4" s="49"/>
      <c r="C4" s="36"/>
      <c r="D4" s="49"/>
    </row>
    <row r="5" spans="1:4" ht="16.5" thickBot="1" x14ac:dyDescent="0.3">
      <c r="A5" s="47">
        <v>3</v>
      </c>
      <c r="B5" s="49"/>
      <c r="C5" s="36"/>
      <c r="D5" s="49"/>
    </row>
    <row r="6" spans="1:4" ht="16.5" thickBot="1" x14ac:dyDescent="0.3">
      <c r="A6" s="47">
        <v>4</v>
      </c>
      <c r="B6" s="49"/>
      <c r="C6" s="36"/>
      <c r="D6" s="49"/>
    </row>
    <row r="7" spans="1:4" ht="16.5" thickBot="1" x14ac:dyDescent="0.3">
      <c r="A7" s="47">
        <v>5</v>
      </c>
      <c r="B7" s="49"/>
      <c r="C7" s="36"/>
      <c r="D7" s="49"/>
    </row>
    <row r="8" spans="1:4" ht="16.5" thickBot="1" x14ac:dyDescent="0.3">
      <c r="A8" s="47">
        <v>6</v>
      </c>
      <c r="B8" s="49"/>
      <c r="C8" s="36"/>
      <c r="D8" s="49"/>
    </row>
    <row r="9" spans="1:4" ht="16.5" thickBot="1" x14ac:dyDescent="0.3">
      <c r="A9" s="47">
        <v>7</v>
      </c>
      <c r="B9" s="49"/>
      <c r="C9" s="36"/>
      <c r="D9" s="49"/>
    </row>
    <row r="10" spans="1:4" ht="16.5" thickBot="1" x14ac:dyDescent="0.3">
      <c r="A10" s="47">
        <v>8</v>
      </c>
      <c r="B10" s="49"/>
      <c r="C10" s="36"/>
      <c r="D10" s="49"/>
    </row>
    <row r="11" spans="1:4" ht="16.5" thickBot="1" x14ac:dyDescent="0.3">
      <c r="A11" s="47">
        <v>9</v>
      </c>
      <c r="B11" s="49"/>
      <c r="C11" s="36"/>
      <c r="D11" s="49"/>
    </row>
    <row r="12" spans="1:4" ht="16.5" thickBot="1" x14ac:dyDescent="0.3">
      <c r="A12" s="37"/>
      <c r="B12" s="50"/>
      <c r="C12" s="37"/>
      <c r="D12" s="50"/>
    </row>
    <row r="13" spans="1:4" ht="15.75" x14ac:dyDescent="0.25">
      <c r="A13" s="2"/>
      <c r="B13" s="2"/>
      <c r="C13" s="2"/>
      <c r="D13" s="2"/>
    </row>
    <row r="14" spans="1:4" ht="15.75" x14ac:dyDescent="0.25">
      <c r="A14" s="2" t="s">
        <v>37</v>
      </c>
      <c r="B14" s="23"/>
      <c r="C14" s="2"/>
      <c r="D14" s="2"/>
    </row>
    <row r="15" spans="1:4" ht="15.75" x14ac:dyDescent="0.25">
      <c r="A15" s="2" t="s">
        <v>38</v>
      </c>
      <c r="B15" s="23"/>
      <c r="C15" s="2"/>
      <c r="D15" s="2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D15"/>
  <sheetViews>
    <sheetView workbookViewId="0">
      <selection sqref="A1:D15"/>
    </sheetView>
  </sheetViews>
  <sheetFormatPr baseColWidth="10" defaultRowHeight="15" x14ac:dyDescent="0.25"/>
  <cols>
    <col min="2" max="2" width="12.140625" bestFit="1" customWidth="1"/>
  </cols>
  <sheetData>
    <row r="1" spans="1:4" ht="15.75" thickBot="1" x14ac:dyDescent="0.3"/>
    <row r="2" spans="1:4" ht="19.5" thickBot="1" x14ac:dyDescent="0.3">
      <c r="A2" s="5" t="s">
        <v>2</v>
      </c>
      <c r="B2" s="6" t="s">
        <v>34</v>
      </c>
      <c r="C2" s="6" t="s">
        <v>35</v>
      </c>
      <c r="D2" s="6" t="s">
        <v>36</v>
      </c>
    </row>
    <row r="3" spans="1:4" ht="16.5" thickBot="1" x14ac:dyDescent="0.3">
      <c r="A3" s="47">
        <v>1</v>
      </c>
      <c r="B3" s="49">
        <v>5072</v>
      </c>
      <c r="C3" s="36">
        <f t="shared" ref="C3:C10" si="0">A3*A3</f>
        <v>1</v>
      </c>
      <c r="D3" s="49">
        <f t="shared" ref="D3:D10" si="1">A3*B3</f>
        <v>5072</v>
      </c>
    </row>
    <row r="4" spans="1:4" ht="16.5" thickBot="1" x14ac:dyDescent="0.3">
      <c r="A4" s="47">
        <v>2</v>
      </c>
      <c r="B4" s="49">
        <v>5333</v>
      </c>
      <c r="C4" s="36">
        <f t="shared" si="0"/>
        <v>4</v>
      </c>
      <c r="D4" s="49">
        <f t="shared" si="1"/>
        <v>10666</v>
      </c>
    </row>
    <row r="5" spans="1:4" ht="16.5" thickBot="1" x14ac:dyDescent="0.3">
      <c r="A5" s="47">
        <v>3</v>
      </c>
      <c r="B5" s="49">
        <v>5962</v>
      </c>
      <c r="C5" s="36">
        <f t="shared" si="0"/>
        <v>9</v>
      </c>
      <c r="D5" s="49">
        <f t="shared" si="1"/>
        <v>17886</v>
      </c>
    </row>
    <row r="6" spans="1:4" ht="16.5" thickBot="1" x14ac:dyDescent="0.3">
      <c r="A6" s="47">
        <v>4</v>
      </c>
      <c r="B6" s="49">
        <v>7246</v>
      </c>
      <c r="C6" s="36">
        <f t="shared" si="0"/>
        <v>16</v>
      </c>
      <c r="D6" s="49">
        <f t="shared" si="1"/>
        <v>28984</v>
      </c>
    </row>
    <row r="7" spans="1:4" ht="16.5" thickBot="1" x14ac:dyDescent="0.3">
      <c r="A7" s="47">
        <v>5</v>
      </c>
      <c r="B7" s="49">
        <v>8839</v>
      </c>
      <c r="C7" s="36">
        <f t="shared" si="0"/>
        <v>25</v>
      </c>
      <c r="D7" s="49">
        <f t="shared" si="1"/>
        <v>44195</v>
      </c>
    </row>
    <row r="8" spans="1:4" ht="16.5" thickBot="1" x14ac:dyDescent="0.3">
      <c r="A8" s="47">
        <v>6</v>
      </c>
      <c r="B8" s="49">
        <v>8875</v>
      </c>
      <c r="C8" s="36">
        <f t="shared" si="0"/>
        <v>36</v>
      </c>
      <c r="D8" s="49">
        <f t="shared" si="1"/>
        <v>53250</v>
      </c>
    </row>
    <row r="9" spans="1:4" ht="16.5" thickBot="1" x14ac:dyDescent="0.3">
      <c r="A9" s="47">
        <v>7</v>
      </c>
      <c r="B9" s="49">
        <v>10441</v>
      </c>
      <c r="C9" s="36">
        <f t="shared" si="0"/>
        <v>49</v>
      </c>
      <c r="D9" s="49">
        <f t="shared" si="1"/>
        <v>73087</v>
      </c>
    </row>
    <row r="10" spans="1:4" ht="16.5" thickBot="1" x14ac:dyDescent="0.3">
      <c r="A10" s="47">
        <v>8</v>
      </c>
      <c r="B10" s="49">
        <v>11106</v>
      </c>
      <c r="C10" s="36">
        <f t="shared" si="0"/>
        <v>64</v>
      </c>
      <c r="D10" s="49">
        <f t="shared" si="1"/>
        <v>88848</v>
      </c>
    </row>
    <row r="11" spans="1:4" ht="16.5" thickBot="1" x14ac:dyDescent="0.3">
      <c r="A11" s="47">
        <v>9</v>
      </c>
      <c r="B11" s="49">
        <v>14142</v>
      </c>
      <c r="C11" s="36">
        <f t="shared" ref="C11" si="2">A11*A11</f>
        <v>81</v>
      </c>
      <c r="D11" s="49">
        <f t="shared" ref="D11" si="3">A11*B11</f>
        <v>127278</v>
      </c>
    </row>
    <row r="12" spans="1:4" ht="16.5" thickBot="1" x14ac:dyDescent="0.3">
      <c r="A12" s="37">
        <f>SUM(A3:A11)</f>
        <v>45</v>
      </c>
      <c r="B12" s="50">
        <f t="shared" ref="B12:D12" si="4">SUM(B3:B11)</f>
        <v>77016</v>
      </c>
      <c r="C12" s="37">
        <f t="shared" si="4"/>
        <v>285</v>
      </c>
      <c r="D12" s="50">
        <f t="shared" si="4"/>
        <v>449266</v>
      </c>
    </row>
    <row r="13" spans="1:4" ht="15.75" x14ac:dyDescent="0.25">
      <c r="A13" s="2"/>
      <c r="B13" s="2"/>
      <c r="C13" s="2"/>
      <c r="D13" s="2"/>
    </row>
    <row r="14" spans="1:4" ht="15.75" x14ac:dyDescent="0.25">
      <c r="A14" s="2" t="s">
        <v>37</v>
      </c>
      <c r="B14" s="23">
        <f>A12/A11</f>
        <v>5</v>
      </c>
      <c r="C14" s="2"/>
      <c r="D14" s="2"/>
    </row>
    <row r="15" spans="1:4" ht="15.75" x14ac:dyDescent="0.25">
      <c r="A15" s="2" t="s">
        <v>38</v>
      </c>
      <c r="B15" s="23">
        <f>B12/A11</f>
        <v>8557.3333333333339</v>
      </c>
      <c r="C15" s="2"/>
      <c r="D15" s="2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D29"/>
  <sheetViews>
    <sheetView topLeftCell="A19" workbookViewId="0">
      <selection activeCell="E38" sqref="E38"/>
    </sheetView>
  </sheetViews>
  <sheetFormatPr baseColWidth="10" defaultRowHeight="15" x14ac:dyDescent="0.25"/>
  <cols>
    <col min="4" max="4" width="14.7109375" customWidth="1"/>
  </cols>
  <sheetData>
    <row r="1" spans="1:2" ht="15.75" thickBot="1" x14ac:dyDescent="0.3"/>
    <row r="2" spans="1:2" ht="18" thickBot="1" x14ac:dyDescent="0.3">
      <c r="A2" s="51" t="s">
        <v>45</v>
      </c>
      <c r="B2" s="52" t="s">
        <v>46</v>
      </c>
    </row>
    <row r="3" spans="1:2" ht="16.5" thickBot="1" x14ac:dyDescent="0.3">
      <c r="A3" s="53"/>
      <c r="B3" s="48"/>
    </row>
    <row r="4" spans="1:2" ht="16.5" thickBot="1" x14ac:dyDescent="0.3">
      <c r="A4" s="53"/>
      <c r="B4" s="48"/>
    </row>
    <row r="5" spans="1:2" ht="16.5" thickBot="1" x14ac:dyDescent="0.3">
      <c r="A5" s="53"/>
      <c r="B5" s="48"/>
    </row>
    <row r="6" spans="1:2" ht="16.5" thickBot="1" x14ac:dyDescent="0.3">
      <c r="A6" s="53"/>
      <c r="B6" s="48"/>
    </row>
    <row r="7" spans="1:2" ht="16.5" thickBot="1" x14ac:dyDescent="0.3">
      <c r="A7" s="53"/>
      <c r="B7" s="48"/>
    </row>
    <row r="8" spans="1:2" ht="16.5" thickBot="1" x14ac:dyDescent="0.3">
      <c r="A8" s="53"/>
      <c r="B8" s="48"/>
    </row>
    <row r="9" spans="1:2" ht="16.5" thickBot="1" x14ac:dyDescent="0.3">
      <c r="A9" s="54"/>
      <c r="B9" s="55"/>
    </row>
    <row r="18" spans="1:4" ht="15.75" thickBot="1" x14ac:dyDescent="0.3"/>
    <row r="19" spans="1:4" ht="19.5" thickBot="1" x14ac:dyDescent="0.3">
      <c r="A19" s="5" t="s">
        <v>2</v>
      </c>
      <c r="B19" s="6" t="s">
        <v>34</v>
      </c>
      <c r="C19" s="6" t="s">
        <v>35</v>
      </c>
      <c r="D19" s="6" t="s">
        <v>36</v>
      </c>
    </row>
    <row r="20" spans="1:4" ht="16.5" thickBot="1" x14ac:dyDescent="0.3">
      <c r="A20" s="53"/>
      <c r="B20" s="48"/>
      <c r="C20" s="36"/>
      <c r="D20" s="49"/>
    </row>
    <row r="21" spans="1:4" ht="16.5" thickBot="1" x14ac:dyDescent="0.3">
      <c r="A21" s="53"/>
      <c r="B21" s="48"/>
      <c r="C21" s="36"/>
      <c r="D21" s="49"/>
    </row>
    <row r="22" spans="1:4" ht="16.5" thickBot="1" x14ac:dyDescent="0.3">
      <c r="A22" s="53"/>
      <c r="B22" s="48"/>
      <c r="C22" s="36"/>
      <c r="D22" s="49"/>
    </row>
    <row r="23" spans="1:4" ht="16.5" thickBot="1" x14ac:dyDescent="0.3">
      <c r="A23" s="53"/>
      <c r="B23" s="48"/>
      <c r="C23" s="36"/>
      <c r="D23" s="49"/>
    </row>
    <row r="24" spans="1:4" ht="16.5" thickBot="1" x14ac:dyDescent="0.3">
      <c r="A24" s="53"/>
      <c r="B24" s="48"/>
      <c r="C24" s="36"/>
      <c r="D24" s="49"/>
    </row>
    <row r="25" spans="1:4" ht="16.5" thickBot="1" x14ac:dyDescent="0.3">
      <c r="A25" s="53"/>
      <c r="B25" s="48"/>
      <c r="C25" s="36"/>
      <c r="D25" s="49"/>
    </row>
    <row r="26" spans="1:4" ht="16.5" thickBot="1" x14ac:dyDescent="0.3">
      <c r="A26" s="37"/>
      <c r="B26" s="50"/>
      <c r="C26" s="37"/>
      <c r="D26" s="50"/>
    </row>
    <row r="28" spans="1:4" ht="15.75" x14ac:dyDescent="0.25">
      <c r="A28" s="2" t="s">
        <v>37</v>
      </c>
    </row>
    <row r="29" spans="1:4" ht="15.75" x14ac:dyDescent="0.25">
      <c r="A29" s="2" t="s">
        <v>38</v>
      </c>
    </row>
  </sheetData>
  <pageMargins left="0.7" right="0.7" top="0.75" bottom="0.75" header="0.3" footer="0.3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D29"/>
  <sheetViews>
    <sheetView topLeftCell="A13" workbookViewId="0">
      <selection activeCell="A28" sqref="A28:A29"/>
    </sheetView>
  </sheetViews>
  <sheetFormatPr baseColWidth="10" defaultRowHeight="15" x14ac:dyDescent="0.25"/>
  <cols>
    <col min="2" max="2" width="13.28515625" bestFit="1" customWidth="1"/>
    <col min="4" max="4" width="18" customWidth="1"/>
  </cols>
  <sheetData>
    <row r="1" spans="1:2" ht="15.75" thickBot="1" x14ac:dyDescent="0.3"/>
    <row r="2" spans="1:2" ht="18" thickBot="1" x14ac:dyDescent="0.3">
      <c r="A2" s="51" t="s">
        <v>45</v>
      </c>
      <c r="B2" s="52" t="s">
        <v>46</v>
      </c>
    </row>
    <row r="3" spans="1:2" ht="16.5" thickBot="1" x14ac:dyDescent="0.3">
      <c r="A3" s="53">
        <v>15</v>
      </c>
      <c r="B3" s="48">
        <v>75000</v>
      </c>
    </row>
    <row r="4" spans="1:2" ht="16.5" thickBot="1" x14ac:dyDescent="0.3">
      <c r="A4" s="53">
        <v>18.5</v>
      </c>
      <c r="B4" s="48">
        <v>95400</v>
      </c>
    </row>
    <row r="5" spans="1:2" ht="16.5" thickBot="1" x14ac:dyDescent="0.3">
      <c r="A5" s="53">
        <v>19</v>
      </c>
      <c r="B5" s="48">
        <v>100400</v>
      </c>
    </row>
    <row r="6" spans="1:2" ht="16.5" thickBot="1" x14ac:dyDescent="0.3">
      <c r="A6" s="53">
        <v>16.5</v>
      </c>
      <c r="B6" s="48">
        <v>83500</v>
      </c>
    </row>
    <row r="7" spans="1:2" ht="16.5" thickBot="1" x14ac:dyDescent="0.3">
      <c r="A7" s="53">
        <v>16</v>
      </c>
      <c r="B7" s="48">
        <v>80400</v>
      </c>
    </row>
    <row r="8" spans="1:2" ht="16.5" thickBot="1" x14ac:dyDescent="0.3">
      <c r="A8" s="53">
        <v>18.2</v>
      </c>
      <c r="B8" s="48">
        <v>92400</v>
      </c>
    </row>
    <row r="9" spans="1:2" ht="16.5" thickBot="1" x14ac:dyDescent="0.3">
      <c r="A9" s="54">
        <v>103.2</v>
      </c>
      <c r="B9" s="55" t="s">
        <v>44</v>
      </c>
    </row>
    <row r="18" spans="1:4" ht="15.75" thickBot="1" x14ac:dyDescent="0.3"/>
    <row r="19" spans="1:4" ht="19.5" thickBot="1" x14ac:dyDescent="0.3">
      <c r="A19" s="5" t="s">
        <v>2</v>
      </c>
      <c r="B19" s="6" t="s">
        <v>34</v>
      </c>
      <c r="C19" s="6" t="s">
        <v>35</v>
      </c>
      <c r="D19" s="6" t="s">
        <v>36</v>
      </c>
    </row>
    <row r="20" spans="1:4" ht="16.5" thickBot="1" x14ac:dyDescent="0.3">
      <c r="A20" s="53">
        <v>15</v>
      </c>
      <c r="B20" s="48">
        <v>75000</v>
      </c>
      <c r="C20" s="36">
        <f t="shared" ref="C20:C25" si="0">A20*A20</f>
        <v>225</v>
      </c>
      <c r="D20" s="49">
        <f t="shared" ref="D20:D25" si="1">A20*B20</f>
        <v>1125000</v>
      </c>
    </row>
    <row r="21" spans="1:4" ht="16.5" thickBot="1" x14ac:dyDescent="0.3">
      <c r="A21" s="53">
        <v>18.5</v>
      </c>
      <c r="B21" s="48">
        <v>95400</v>
      </c>
      <c r="C21" s="36">
        <f t="shared" si="0"/>
        <v>342.25</v>
      </c>
      <c r="D21" s="49">
        <f t="shared" si="1"/>
        <v>1764900</v>
      </c>
    </row>
    <row r="22" spans="1:4" ht="16.5" thickBot="1" x14ac:dyDescent="0.3">
      <c r="A22" s="53">
        <v>19</v>
      </c>
      <c r="B22" s="48">
        <v>100400</v>
      </c>
      <c r="C22" s="36">
        <f t="shared" si="0"/>
        <v>361</v>
      </c>
      <c r="D22" s="49">
        <f t="shared" si="1"/>
        <v>1907600</v>
      </c>
    </row>
    <row r="23" spans="1:4" ht="16.5" thickBot="1" x14ac:dyDescent="0.3">
      <c r="A23" s="53">
        <v>16.5</v>
      </c>
      <c r="B23" s="48">
        <v>83500</v>
      </c>
      <c r="C23" s="36">
        <f t="shared" si="0"/>
        <v>272.25</v>
      </c>
      <c r="D23" s="49">
        <f t="shared" si="1"/>
        <v>1377750</v>
      </c>
    </row>
    <row r="24" spans="1:4" ht="16.5" thickBot="1" x14ac:dyDescent="0.3">
      <c r="A24" s="53">
        <v>16</v>
      </c>
      <c r="B24" s="48">
        <v>80400</v>
      </c>
      <c r="C24" s="36">
        <f t="shared" si="0"/>
        <v>256</v>
      </c>
      <c r="D24" s="49">
        <f t="shared" si="1"/>
        <v>1286400</v>
      </c>
    </row>
    <row r="25" spans="1:4" ht="16.5" thickBot="1" x14ac:dyDescent="0.3">
      <c r="A25" s="53">
        <v>18.2</v>
      </c>
      <c r="B25" s="48">
        <v>92400</v>
      </c>
      <c r="C25" s="36">
        <f t="shared" si="0"/>
        <v>331.23999999999995</v>
      </c>
      <c r="D25" s="49">
        <f t="shared" si="1"/>
        <v>1681680</v>
      </c>
    </row>
    <row r="26" spans="1:4" ht="16.5" thickBot="1" x14ac:dyDescent="0.3">
      <c r="A26" s="37">
        <f>SUM(A20:A25)</f>
        <v>103.2</v>
      </c>
      <c r="B26" s="50">
        <f>SUM(B20:B25)</f>
        <v>527100</v>
      </c>
      <c r="C26" s="37">
        <f>SUM(C20:C25)</f>
        <v>1787.74</v>
      </c>
      <c r="D26" s="50">
        <f>SUM(D20:D25)</f>
        <v>9143330</v>
      </c>
    </row>
    <row r="27" spans="1:4" ht="15.75" x14ac:dyDescent="0.25">
      <c r="A27" s="2"/>
      <c r="B27" s="2"/>
      <c r="C27" s="2"/>
      <c r="D27" s="2"/>
    </row>
    <row r="28" spans="1:4" ht="15.75" x14ac:dyDescent="0.25">
      <c r="A28" s="2" t="s">
        <v>37</v>
      </c>
      <c r="B28" s="23">
        <f>A26/6</f>
        <v>17.2</v>
      </c>
      <c r="C28" s="2"/>
      <c r="D28" s="2"/>
    </row>
    <row r="29" spans="1:4" ht="15.75" x14ac:dyDescent="0.25">
      <c r="A29" s="2" t="s">
        <v>38</v>
      </c>
      <c r="B29" s="56">
        <f>B26/6</f>
        <v>87850</v>
      </c>
      <c r="C29" s="2"/>
      <c r="D29" s="2"/>
    </row>
  </sheetData>
  <pageMargins left="0.7" right="0.7" top="0.75" bottom="0.75" header="0.3" footer="0.3"/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2:D12"/>
  <sheetViews>
    <sheetView workbookViewId="0">
      <selection activeCell="F21" sqref="F21"/>
    </sheetView>
  </sheetViews>
  <sheetFormatPr baseColWidth="10" defaultRowHeight="15" x14ac:dyDescent="0.25"/>
  <cols>
    <col min="1" max="1" width="13.28515625" customWidth="1"/>
    <col min="2" max="2" width="13.7109375" customWidth="1"/>
    <col min="3" max="3" width="14.28515625" customWidth="1"/>
    <col min="4" max="4" width="13.85546875" customWidth="1"/>
  </cols>
  <sheetData>
    <row r="2" spans="1:4" ht="18.75" x14ac:dyDescent="0.25">
      <c r="A2" s="18" t="s">
        <v>26</v>
      </c>
      <c r="B2" s="18" t="s">
        <v>39</v>
      </c>
      <c r="C2" s="18" t="s">
        <v>35</v>
      </c>
      <c r="D2" s="18" t="s">
        <v>36</v>
      </c>
    </row>
    <row r="3" spans="1:4" ht="15.75" x14ac:dyDescent="0.25">
      <c r="A3" s="46"/>
      <c r="B3" s="20"/>
      <c r="C3" s="20"/>
      <c r="D3" s="43"/>
    </row>
    <row r="4" spans="1:4" ht="15.75" x14ac:dyDescent="0.25">
      <c r="A4" s="46"/>
      <c r="B4" s="20"/>
      <c r="C4" s="20"/>
      <c r="D4" s="43"/>
    </row>
    <row r="5" spans="1:4" ht="15.75" x14ac:dyDescent="0.25">
      <c r="A5" s="46"/>
      <c r="B5" s="20"/>
      <c r="C5" s="20"/>
      <c r="D5" s="43"/>
    </row>
    <row r="6" spans="1:4" ht="15.75" x14ac:dyDescent="0.25">
      <c r="A6" s="46"/>
      <c r="B6" s="20"/>
      <c r="C6" s="20"/>
      <c r="D6" s="43"/>
    </row>
    <row r="7" spans="1:4" ht="15.75" x14ac:dyDescent="0.25">
      <c r="A7" s="46"/>
      <c r="B7" s="20"/>
      <c r="C7" s="20"/>
      <c r="D7" s="43"/>
    </row>
    <row r="8" spans="1:4" ht="15.75" x14ac:dyDescent="0.25">
      <c r="A8" s="46"/>
      <c r="B8" s="20"/>
      <c r="C8" s="20"/>
      <c r="D8" s="43"/>
    </row>
    <row r="9" spans="1:4" ht="15.75" x14ac:dyDescent="0.25">
      <c r="A9" s="44"/>
      <c r="B9" s="44"/>
      <c r="C9" s="44"/>
      <c r="D9" s="44"/>
    </row>
    <row r="10" spans="1:4" ht="15.75" x14ac:dyDescent="0.25">
      <c r="A10" s="2"/>
      <c r="B10" s="2"/>
      <c r="C10" s="2"/>
      <c r="D10" s="2"/>
    </row>
    <row r="11" spans="1:4" ht="15.75" x14ac:dyDescent="0.25">
      <c r="A11" s="2" t="s">
        <v>23</v>
      </c>
      <c r="B11" s="21"/>
      <c r="C11" s="2"/>
      <c r="D11" s="2"/>
    </row>
    <row r="12" spans="1:4" ht="15.75" x14ac:dyDescent="0.25">
      <c r="A12" s="2" t="s">
        <v>38</v>
      </c>
      <c r="B12" s="45"/>
      <c r="C12" s="2"/>
      <c r="D12" s="2"/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2:D12"/>
  <sheetViews>
    <sheetView workbookViewId="0">
      <selection activeCell="C35" sqref="C35"/>
    </sheetView>
  </sheetViews>
  <sheetFormatPr baseColWidth="10" defaultRowHeight="15" x14ac:dyDescent="0.25"/>
  <cols>
    <col min="1" max="3" width="11.5703125" bestFit="1" customWidth="1"/>
    <col min="4" max="4" width="13.28515625" bestFit="1" customWidth="1"/>
  </cols>
  <sheetData>
    <row r="2" spans="1:4" ht="18.75" x14ac:dyDescent="0.25">
      <c r="A2" s="18" t="s">
        <v>26</v>
      </c>
      <c r="B2" s="18" t="s">
        <v>39</v>
      </c>
      <c r="C2" s="18" t="s">
        <v>35</v>
      </c>
      <c r="D2" s="18" t="s">
        <v>36</v>
      </c>
    </row>
    <row r="3" spans="1:4" ht="15.75" x14ac:dyDescent="0.25">
      <c r="A3" s="46">
        <v>1</v>
      </c>
      <c r="B3" s="20">
        <v>4198</v>
      </c>
      <c r="C3" s="20">
        <f>A3*A3</f>
        <v>1</v>
      </c>
      <c r="D3" s="43">
        <f>A3*B3</f>
        <v>4198</v>
      </c>
    </row>
    <row r="4" spans="1:4" ht="15.75" x14ac:dyDescent="0.25">
      <c r="A4" s="46">
        <v>2</v>
      </c>
      <c r="B4" s="20">
        <v>4371</v>
      </c>
      <c r="C4" s="20">
        <f t="shared" ref="C4:C8" si="0">A4*A4</f>
        <v>4</v>
      </c>
      <c r="D4" s="43">
        <f t="shared" ref="D4:D8" si="1">A4*B4</f>
        <v>8742</v>
      </c>
    </row>
    <row r="5" spans="1:4" ht="15.75" x14ac:dyDescent="0.25">
      <c r="A5" s="46">
        <v>3</v>
      </c>
      <c r="B5" s="20">
        <v>4741</v>
      </c>
      <c r="C5" s="20">
        <f t="shared" si="0"/>
        <v>9</v>
      </c>
      <c r="D5" s="43">
        <f t="shared" si="1"/>
        <v>14223</v>
      </c>
    </row>
    <row r="6" spans="1:4" ht="15.75" x14ac:dyDescent="0.25">
      <c r="A6" s="46">
        <v>4</v>
      </c>
      <c r="B6" s="20">
        <v>4920</v>
      </c>
      <c r="C6" s="20">
        <f t="shared" si="0"/>
        <v>16</v>
      </c>
      <c r="D6" s="43">
        <f t="shared" si="1"/>
        <v>19680</v>
      </c>
    </row>
    <row r="7" spans="1:4" ht="15.75" x14ac:dyDescent="0.25">
      <c r="A7" s="46">
        <v>5</v>
      </c>
      <c r="B7" s="20">
        <v>5803</v>
      </c>
      <c r="C7" s="20">
        <f t="shared" si="0"/>
        <v>25</v>
      </c>
      <c r="D7" s="43">
        <f t="shared" si="1"/>
        <v>29015</v>
      </c>
    </row>
    <row r="8" spans="1:4" ht="15.75" x14ac:dyDescent="0.25">
      <c r="A8" s="46">
        <v>6</v>
      </c>
      <c r="B8" s="20">
        <v>5898</v>
      </c>
      <c r="C8" s="20">
        <f t="shared" si="0"/>
        <v>36</v>
      </c>
      <c r="D8" s="43">
        <f t="shared" si="1"/>
        <v>35388</v>
      </c>
    </row>
    <row r="9" spans="1:4" ht="15.75" x14ac:dyDescent="0.25">
      <c r="A9" s="44">
        <f>SUM(A3:A8)</f>
        <v>21</v>
      </c>
      <c r="B9" s="44">
        <f>SUM(B3:B8)</f>
        <v>29931</v>
      </c>
      <c r="C9" s="44">
        <f t="shared" ref="C9:D9" si="2">SUM(C3:C8)</f>
        <v>91</v>
      </c>
      <c r="D9" s="44">
        <f t="shared" si="2"/>
        <v>111246</v>
      </c>
    </row>
    <row r="10" spans="1:4" ht="15.75" x14ac:dyDescent="0.25">
      <c r="A10" s="2"/>
      <c r="B10" s="2"/>
      <c r="C10" s="2"/>
      <c r="D10" s="2"/>
    </row>
    <row r="11" spans="1:4" ht="15.75" x14ac:dyDescent="0.25">
      <c r="A11" s="2" t="s">
        <v>23</v>
      </c>
      <c r="B11" s="21">
        <f>A9/A8</f>
        <v>3.5</v>
      </c>
      <c r="C11" s="2"/>
      <c r="D11" s="2"/>
    </row>
    <row r="12" spans="1:4" ht="15.75" x14ac:dyDescent="0.25">
      <c r="A12" s="2" t="s">
        <v>38</v>
      </c>
      <c r="B12" s="45">
        <f>B9/A8</f>
        <v>4988.5</v>
      </c>
      <c r="C12" s="2"/>
      <c r="D12" s="2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2:D12"/>
  <sheetViews>
    <sheetView workbookViewId="0">
      <selection activeCell="H31" sqref="H31"/>
    </sheetView>
  </sheetViews>
  <sheetFormatPr baseColWidth="10" defaultRowHeight="15" x14ac:dyDescent="0.25"/>
  <cols>
    <col min="1" max="1" width="13.85546875" customWidth="1"/>
    <col min="2" max="2" width="14.85546875" customWidth="1"/>
    <col min="3" max="3" width="15.28515625" customWidth="1"/>
    <col min="4" max="4" width="16.140625" customWidth="1"/>
  </cols>
  <sheetData>
    <row r="2" spans="1:4" ht="18.75" x14ac:dyDescent="0.25">
      <c r="A2" s="1" t="s">
        <v>2</v>
      </c>
      <c r="B2" s="1" t="s">
        <v>34</v>
      </c>
      <c r="C2" s="1" t="s">
        <v>35</v>
      </c>
      <c r="D2" s="1" t="s">
        <v>36</v>
      </c>
    </row>
    <row r="3" spans="1:4" ht="15.75" x14ac:dyDescent="0.25">
      <c r="A3" s="1"/>
      <c r="B3" s="12"/>
      <c r="C3" s="1"/>
      <c r="D3" s="13"/>
    </row>
    <row r="4" spans="1:4" ht="15.75" x14ac:dyDescent="0.25">
      <c r="A4" s="1"/>
      <c r="B4" s="12"/>
      <c r="C4" s="1"/>
      <c r="D4" s="13"/>
    </row>
    <row r="5" spans="1:4" ht="15.75" x14ac:dyDescent="0.25">
      <c r="A5" s="1"/>
      <c r="B5" s="12"/>
      <c r="C5" s="1"/>
      <c r="D5" s="13"/>
    </row>
    <row r="6" spans="1:4" ht="15.75" x14ac:dyDescent="0.25">
      <c r="A6" s="1"/>
      <c r="B6" s="12"/>
      <c r="C6" s="1"/>
      <c r="D6" s="13"/>
    </row>
    <row r="7" spans="1:4" ht="15.75" x14ac:dyDescent="0.25">
      <c r="A7" s="1"/>
      <c r="B7" s="12"/>
      <c r="C7" s="1"/>
      <c r="D7" s="13"/>
    </row>
    <row r="8" spans="1:4" ht="15.75" x14ac:dyDescent="0.25">
      <c r="A8" s="1"/>
      <c r="B8" s="12"/>
      <c r="C8" s="1"/>
      <c r="D8" s="13"/>
    </row>
    <row r="9" spans="1:4" ht="15.75" x14ac:dyDescent="0.25">
      <c r="A9" s="15"/>
      <c r="B9" s="15"/>
      <c r="C9" s="15"/>
      <c r="D9" s="14"/>
    </row>
    <row r="10" spans="1:4" ht="15.75" x14ac:dyDescent="0.25">
      <c r="A10" s="2"/>
      <c r="B10" s="2"/>
      <c r="C10" s="2"/>
      <c r="D10" s="2"/>
    </row>
    <row r="11" spans="1:4" ht="15.75" x14ac:dyDescent="0.25">
      <c r="A11" s="2" t="s">
        <v>23</v>
      </c>
      <c r="B11" s="16"/>
      <c r="C11" s="2"/>
      <c r="D11" s="2"/>
    </row>
    <row r="12" spans="1:4" ht="15.75" x14ac:dyDescent="0.25">
      <c r="A12" s="2" t="s">
        <v>38</v>
      </c>
      <c r="B12" s="17"/>
      <c r="C12" s="2"/>
      <c r="D12" s="2"/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2:D12"/>
  <sheetViews>
    <sheetView tabSelected="1" workbookViewId="0">
      <selection activeCell="B11" sqref="B11:B12"/>
    </sheetView>
  </sheetViews>
  <sheetFormatPr baseColWidth="10" defaultRowHeight="15" x14ac:dyDescent="0.25"/>
  <cols>
    <col min="2" max="2" width="14.42578125" bestFit="1" customWidth="1"/>
  </cols>
  <sheetData>
    <row r="2" spans="1:4" ht="18.75" x14ac:dyDescent="0.25">
      <c r="A2" s="1" t="s">
        <v>2</v>
      </c>
      <c r="B2" s="1" t="s">
        <v>34</v>
      </c>
      <c r="C2" s="1" t="s">
        <v>35</v>
      </c>
      <c r="D2" s="1" t="s">
        <v>36</v>
      </c>
    </row>
    <row r="3" spans="1:4" ht="15.75" x14ac:dyDescent="0.25">
      <c r="A3" s="19">
        <v>1</v>
      </c>
      <c r="B3" s="38">
        <v>45000</v>
      </c>
      <c r="C3" s="19">
        <f>A3*A3</f>
        <v>1</v>
      </c>
      <c r="D3" s="39">
        <f>A3*B3</f>
        <v>45000</v>
      </c>
    </row>
    <row r="4" spans="1:4" ht="15.75" x14ac:dyDescent="0.25">
      <c r="A4" s="19">
        <v>2</v>
      </c>
      <c r="B4" s="38">
        <v>65000</v>
      </c>
      <c r="C4" s="19">
        <f t="shared" ref="C4:C8" si="0">A4*A4</f>
        <v>4</v>
      </c>
      <c r="D4" s="39">
        <f t="shared" ref="D4:D8" si="1">A4*B4</f>
        <v>130000</v>
      </c>
    </row>
    <row r="5" spans="1:4" ht="15.75" x14ac:dyDescent="0.25">
      <c r="A5" s="19">
        <v>3</v>
      </c>
      <c r="B5" s="38">
        <v>145000</v>
      </c>
      <c r="C5" s="19">
        <f t="shared" si="0"/>
        <v>9</v>
      </c>
      <c r="D5" s="39">
        <f t="shared" si="1"/>
        <v>435000</v>
      </c>
    </row>
    <row r="6" spans="1:4" ht="15.75" x14ac:dyDescent="0.25">
      <c r="A6" s="19">
        <v>4</v>
      </c>
      <c r="B6" s="38">
        <v>195000</v>
      </c>
      <c r="C6" s="19">
        <f t="shared" si="0"/>
        <v>16</v>
      </c>
      <c r="D6" s="39">
        <f t="shared" si="1"/>
        <v>780000</v>
      </c>
    </row>
    <row r="7" spans="1:4" ht="15.75" x14ac:dyDescent="0.25">
      <c r="A7" s="19">
        <v>5</v>
      </c>
      <c r="B7" s="38">
        <v>200000</v>
      </c>
      <c r="C7" s="19">
        <f t="shared" si="0"/>
        <v>25</v>
      </c>
      <c r="D7" s="39">
        <f>A7*B7</f>
        <v>1000000</v>
      </c>
    </row>
    <row r="8" spans="1:4" ht="15.75" x14ac:dyDescent="0.25">
      <c r="A8" s="19">
        <v>6</v>
      </c>
      <c r="B8" s="38">
        <v>226000</v>
      </c>
      <c r="C8" s="19">
        <f t="shared" si="0"/>
        <v>36</v>
      </c>
      <c r="D8" s="39">
        <f t="shared" si="1"/>
        <v>1356000</v>
      </c>
    </row>
    <row r="9" spans="1:4" ht="15.75" x14ac:dyDescent="0.25">
      <c r="A9" s="40">
        <f>SUM(A3:A8)</f>
        <v>21</v>
      </c>
      <c r="B9" s="40">
        <f>SUM(B3:B8)</f>
        <v>876000</v>
      </c>
      <c r="C9" s="40">
        <f t="shared" ref="C9:D9" si="2">SUM(C3:C8)</f>
        <v>91</v>
      </c>
      <c r="D9" s="41">
        <f t="shared" si="2"/>
        <v>3746000</v>
      </c>
    </row>
    <row r="10" spans="1:4" ht="15.75" x14ac:dyDescent="0.25">
      <c r="A10" s="2"/>
      <c r="B10" s="2"/>
      <c r="C10" s="2"/>
      <c r="D10" s="2"/>
    </row>
    <row r="11" spans="1:4" ht="15.75" x14ac:dyDescent="0.25">
      <c r="A11" s="2" t="s">
        <v>23</v>
      </c>
      <c r="B11" s="21">
        <f>A9/A8</f>
        <v>3.5</v>
      </c>
      <c r="C11" s="2"/>
      <c r="D11" s="2"/>
    </row>
    <row r="12" spans="1:4" ht="15.75" x14ac:dyDescent="0.25">
      <c r="A12" s="2" t="s">
        <v>38</v>
      </c>
      <c r="B12" s="42">
        <f>B9/A8</f>
        <v>146000</v>
      </c>
      <c r="C12" s="2"/>
      <c r="D1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22</vt:i4>
      </vt:variant>
    </vt:vector>
  </HeadingPairs>
  <TitlesOfParts>
    <vt:vector size="22" baseType="lpstr">
      <vt:lpstr>Exercice1-Question1</vt:lpstr>
      <vt:lpstr>Exercice1-Question1-corrigé</vt:lpstr>
      <vt:lpstr>Exercice2-Question3</vt:lpstr>
      <vt:lpstr>Exercice2-Question3-corrigé</vt:lpstr>
      <vt:lpstr>Exercice3-Question1</vt:lpstr>
      <vt:lpstr>Exercice3-Question1-corrigé</vt:lpstr>
      <vt:lpstr>Exercice4-Question1</vt:lpstr>
      <vt:lpstr>Exercice4-Question1-corrigé</vt:lpstr>
      <vt:lpstr>Exercice6-Question1</vt:lpstr>
      <vt:lpstr>Exercice6-Question1-corrigé</vt:lpstr>
      <vt:lpstr>Exercice6-Question2</vt:lpstr>
      <vt:lpstr>Exercice6-Question2-corrigé</vt:lpstr>
      <vt:lpstr>Exercice7-Question4</vt:lpstr>
      <vt:lpstr>Exercice7-Question4-corrigé</vt:lpstr>
      <vt:lpstr>Exercice8-Question1</vt:lpstr>
      <vt:lpstr>Exercice8-Question1-corrigé</vt:lpstr>
      <vt:lpstr>Exercice9-Questions1-2</vt:lpstr>
      <vt:lpstr>Exercice9-Questions1-2-corrigé</vt:lpstr>
      <vt:lpstr>Exercice10-Question1</vt:lpstr>
      <vt:lpstr>Exercice10_Consigne1_corrigé</vt:lpstr>
      <vt:lpstr>Exercice11_Consigne2</vt:lpstr>
      <vt:lpstr>Exercice11_Consigne2_corrigé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SARAIVA-LAFON AURELIE</cp:lastModifiedBy>
  <dcterms:created xsi:type="dcterms:W3CDTF">2018-04-27T15:06:42Z</dcterms:created>
  <dcterms:modified xsi:type="dcterms:W3CDTF">2022-06-13T15:05:05Z</dcterms:modified>
</cp:coreProperties>
</file>