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10/"/>
    </mc:Choice>
  </mc:AlternateContent>
  <xr:revisionPtr revIDLastSave="8" documentId="8_{B6089BE6-2743-4CC9-8F36-2132A72F0C88}" xr6:coauthVersionLast="47" xr6:coauthVersionMax="47" xr10:uidLastSave="{D7DB83DB-8AC9-44C4-A4C4-531DA688C9A3}"/>
  <bookViews>
    <workbookView xWindow="28680" yWindow="750" windowWidth="25440" windowHeight="15390" tabRatio="846" activeTab="5" xr2:uid="{00000000-000D-0000-FFFF-FFFF00000000}"/>
  </bookViews>
  <sheets>
    <sheet name="Exercice8_Consigne1" sheetId="5" r:id="rId1"/>
    <sheet name="Exercice8_Consigne1_corrigé" sheetId="1" r:id="rId2"/>
    <sheet name="Exercice8_Consigne2" sheetId="6" r:id="rId3"/>
    <sheet name="Exercice8_Consigne2_corrigé" sheetId="2" r:id="rId4"/>
    <sheet name="Exercice8_Consigne4" sheetId="7" r:id="rId5"/>
    <sheet name="Exercice8_Consigne4_corrigé" sheetId="3" r:id="rId6"/>
    <sheet name="Exercice10" sheetId="4" r:id="rId7"/>
    <sheet name="Exercice10_corrigé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8" l="1"/>
  <c r="B5" i="8" s="1"/>
  <c r="B7" i="8" l="1"/>
  <c r="B8" i="8" s="1"/>
  <c r="B14" i="8" s="1"/>
  <c r="D14" i="8" s="1"/>
  <c r="D16" i="8" s="1"/>
  <c r="B10" i="8"/>
  <c r="B11" i="8" s="1"/>
  <c r="G5" i="3"/>
  <c r="F5" i="3"/>
  <c r="E5" i="3"/>
  <c r="D5" i="3"/>
  <c r="C5" i="3"/>
  <c r="B5" i="3"/>
  <c r="G6" i="2"/>
  <c r="G6" i="3" s="1"/>
  <c r="F6" i="2"/>
  <c r="F6" i="3" s="1"/>
  <c r="E6" i="2"/>
  <c r="E6" i="3" s="1"/>
  <c r="D6" i="2"/>
  <c r="D6" i="3" s="1"/>
  <c r="C6" i="2"/>
  <c r="C6" i="3" s="1"/>
  <c r="B6" i="2"/>
  <c r="B6" i="3" s="1"/>
  <c r="C5" i="1"/>
  <c r="D5" i="1"/>
  <c r="E5" i="1"/>
  <c r="F5" i="1"/>
  <c r="G5" i="1"/>
  <c r="B5" i="1"/>
  <c r="F7" i="3" l="1"/>
  <c r="B20" i="8"/>
  <c r="D20" i="8" s="1"/>
  <c r="B18" i="8"/>
  <c r="D18" i="8" s="1"/>
  <c r="D7" i="3"/>
  <c r="E7" i="3"/>
  <c r="G7" i="3"/>
  <c r="C7" i="3"/>
  <c r="B7" i="3"/>
  <c r="D21" i="8" l="1"/>
</calcChain>
</file>

<file path=xl/sharedStrings.xml><?xml version="1.0" encoding="utf-8"?>
<sst xmlns="http://schemas.openxmlformats.org/spreadsheetml/2006/main" count="96" uniqueCount="28">
  <si>
    <t>Résultat</t>
  </si>
  <si>
    <t>Fichier 1</t>
  </si>
  <si>
    <t>Fichier 2</t>
  </si>
  <si>
    <t>Fichier 3</t>
  </si>
  <si>
    <t>Fichier Clients</t>
  </si>
  <si>
    <t>Fichier Prospects</t>
  </si>
  <si>
    <t>Envois</t>
  </si>
  <si>
    <t>Retours</t>
  </si>
  <si>
    <t>Taux de retour</t>
  </si>
  <si>
    <t>Coût fichier</t>
  </si>
  <si>
    <t>Coût mailing</t>
  </si>
  <si>
    <t>Coût fixe</t>
  </si>
  <si>
    <t>Marge sur coûts variables unitaire</t>
  </si>
  <si>
    <t>Marge sur coûts variables globale</t>
  </si>
  <si>
    <t>Coûts fixes</t>
  </si>
  <si>
    <t>Taille du fichier</t>
  </si>
  <si>
    <t>Objectif de nombre clients</t>
  </si>
  <si>
    <t>Rendez-vous à obtenir</t>
  </si>
  <si>
    <t>Prospects qualifiés</t>
  </si>
  <si>
    <t>Emailing</t>
  </si>
  <si>
    <t>Adresses valides</t>
  </si>
  <si>
    <t>Fichier nécessaire</t>
  </si>
  <si>
    <t>Publipostage</t>
  </si>
  <si>
    <t>Coût</t>
  </si>
  <si>
    <t>Acquisition du fichier</t>
  </si>
  <si>
    <t xml:space="preserve">Acquisition du logiciel de gestion </t>
  </si>
  <si>
    <t>Fabrication, routage et envoi</t>
  </si>
  <si>
    <t>Envoi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</si>
</sst>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/>
    <xf numFmtId="0" fontId="0" fillId="2" borderId="1" xfId="0" applyFill="1" applyBorder="1"/>
    <xf numFmtId="0" fontId="4" fillId="0" borderId="1" xfId="0" applyFont="1" applyBorder="1"/>
    <xf numFmtId="9" fontId="0" fillId="0" borderId="1" xfId="0" applyNumberFormat="1" applyBorder="1"/>
    <xf numFmtId="10" fontId="5" fillId="0" borderId="1" xfId="2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1" applyNumberFormat="1" applyFont="1" applyBorder="1"/>
    <xf numFmtId="164" fontId="5" fillId="0" borderId="1" xfId="1" applyFont="1" applyBorder="1"/>
    <xf numFmtId="164" fontId="5" fillId="0" borderId="1" xfId="0" applyNumberFormat="1" applyFont="1" applyBorder="1"/>
    <xf numFmtId="0" fontId="5" fillId="0" borderId="1" xfId="0" applyFont="1" applyBorder="1"/>
    <xf numFmtId="9" fontId="5" fillId="0" borderId="1" xfId="0" applyNumberFormat="1" applyFont="1" applyBorder="1"/>
    <xf numFmtId="0" fontId="5" fillId="2" borderId="1" xfId="0" applyFont="1" applyFill="1" applyBorder="1"/>
    <xf numFmtId="0" fontId="6" fillId="0" borderId="1" xfId="0" applyFont="1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workbookViewId="0">
      <selection activeCell="D11" sqref="D11"/>
    </sheetView>
  </sheetViews>
  <sheetFormatPr baseColWidth="10" defaultRowHeight="15" x14ac:dyDescent="0.25"/>
  <cols>
    <col min="1" max="1" width="20.42578125" customWidth="1"/>
  </cols>
  <sheetData>
    <row r="2" spans="1:7" ht="31.5" x14ac:dyDescent="0.25">
      <c r="A2" s="4"/>
      <c r="B2" s="5" t="s">
        <v>4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3</v>
      </c>
    </row>
    <row r="3" spans="1:7" x14ac:dyDescent="0.25">
      <c r="A3" s="1" t="s">
        <v>6</v>
      </c>
      <c r="B3" s="2"/>
      <c r="C3" s="2"/>
      <c r="D3" s="2"/>
      <c r="E3" s="2"/>
      <c r="F3" s="2"/>
      <c r="G3" s="2"/>
    </row>
    <row r="4" spans="1:7" x14ac:dyDescent="0.25">
      <c r="A4" s="1" t="s">
        <v>7</v>
      </c>
      <c r="B4" s="2"/>
      <c r="C4" s="2"/>
      <c r="D4" s="2"/>
      <c r="E4" s="2"/>
      <c r="F4" s="2"/>
      <c r="G4" s="2"/>
    </row>
    <row r="5" spans="1:7" x14ac:dyDescent="0.25">
      <c r="A5" s="1" t="s">
        <v>8</v>
      </c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5"/>
  <sheetViews>
    <sheetView workbookViewId="0">
      <selection activeCell="E34" sqref="E34"/>
    </sheetView>
  </sheetViews>
  <sheetFormatPr baseColWidth="10" defaultRowHeight="15" x14ac:dyDescent="0.25"/>
  <cols>
    <col min="1" max="1" width="17" customWidth="1"/>
    <col min="2" max="3" width="13" bestFit="1" customWidth="1"/>
    <col min="4" max="6" width="12" bestFit="1" customWidth="1"/>
    <col min="7" max="7" width="11.85546875" bestFit="1" customWidth="1"/>
  </cols>
  <sheetData>
    <row r="2" spans="1:7" ht="31.5" x14ac:dyDescent="0.25">
      <c r="A2" s="4"/>
      <c r="B2" s="5" t="s">
        <v>4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3</v>
      </c>
    </row>
    <row r="3" spans="1:7" x14ac:dyDescent="0.25">
      <c r="A3" s="1" t="s">
        <v>6</v>
      </c>
      <c r="B3" s="11">
        <v>44000</v>
      </c>
      <c r="C3" s="11">
        <v>35000</v>
      </c>
      <c r="D3" s="11">
        <v>14000</v>
      </c>
      <c r="E3" s="11">
        <v>21000</v>
      </c>
      <c r="F3" s="11">
        <v>18000</v>
      </c>
      <c r="G3" s="11">
        <v>7000</v>
      </c>
    </row>
    <row r="4" spans="1:7" x14ac:dyDescent="0.25">
      <c r="A4" s="1" t="s">
        <v>7</v>
      </c>
      <c r="B4" s="11">
        <v>3186</v>
      </c>
      <c r="C4" s="11">
        <v>1854</v>
      </c>
      <c r="D4" s="11">
        <v>621</v>
      </c>
      <c r="E4" s="11">
        <v>218</v>
      </c>
      <c r="F4" s="11">
        <v>198</v>
      </c>
      <c r="G4" s="11">
        <v>75</v>
      </c>
    </row>
    <row r="5" spans="1:7" x14ac:dyDescent="0.25">
      <c r="A5" s="1" t="s">
        <v>8</v>
      </c>
      <c r="B5" s="10">
        <f>B4/B3</f>
        <v>7.2409090909090909E-2</v>
      </c>
      <c r="C5" s="10">
        <f t="shared" ref="C5:G5" si="0">C4/C3</f>
        <v>5.2971428571428572E-2</v>
      </c>
      <c r="D5" s="10">
        <f t="shared" si="0"/>
        <v>4.4357142857142859E-2</v>
      </c>
      <c r="E5" s="10">
        <f t="shared" si="0"/>
        <v>1.0380952380952381E-2</v>
      </c>
      <c r="F5" s="10">
        <f t="shared" si="0"/>
        <v>1.0999999999999999E-2</v>
      </c>
      <c r="G5" s="10">
        <f t="shared" si="0"/>
        <v>1.0714285714285714E-2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"/>
  <sheetViews>
    <sheetView workbookViewId="0">
      <selection activeCell="B3" sqref="B3:G6"/>
    </sheetView>
  </sheetViews>
  <sheetFormatPr baseColWidth="10" defaultRowHeight="15" x14ac:dyDescent="0.25"/>
  <sheetData>
    <row r="2" spans="1:7" ht="31.5" x14ac:dyDescent="0.25">
      <c r="A2" s="5"/>
      <c r="B2" s="5" t="s">
        <v>4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3</v>
      </c>
    </row>
    <row r="3" spans="1:7" x14ac:dyDescent="0.25">
      <c r="A3" s="1" t="s">
        <v>6</v>
      </c>
      <c r="B3" s="11"/>
      <c r="C3" s="11"/>
      <c r="D3" s="11"/>
      <c r="E3" s="11"/>
      <c r="F3" s="11"/>
      <c r="G3" s="11"/>
    </row>
    <row r="4" spans="1:7" x14ac:dyDescent="0.25">
      <c r="A4" s="1" t="s">
        <v>9</v>
      </c>
      <c r="B4" s="11"/>
      <c r="C4" s="11"/>
      <c r="D4" s="11"/>
      <c r="E4" s="11"/>
      <c r="F4" s="11"/>
      <c r="G4" s="11"/>
    </row>
    <row r="5" spans="1:7" x14ac:dyDescent="0.25">
      <c r="A5" s="1" t="s">
        <v>10</v>
      </c>
      <c r="B5" s="11"/>
      <c r="C5" s="11"/>
      <c r="D5" s="11"/>
      <c r="E5" s="11"/>
      <c r="F5" s="11"/>
      <c r="G5" s="11"/>
    </row>
    <row r="6" spans="1:7" x14ac:dyDescent="0.25">
      <c r="A6" s="1" t="s">
        <v>11</v>
      </c>
      <c r="B6" s="11"/>
      <c r="C6" s="11"/>
      <c r="D6" s="11"/>
      <c r="E6" s="11"/>
      <c r="F6" s="11"/>
      <c r="G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"/>
  <sheetViews>
    <sheetView workbookViewId="0">
      <selection activeCell="A2" sqref="A2:G6"/>
    </sheetView>
  </sheetViews>
  <sheetFormatPr baseColWidth="10" defaultRowHeight="15" x14ac:dyDescent="0.25"/>
  <sheetData>
    <row r="2" spans="1:7" ht="31.5" x14ac:dyDescent="0.25">
      <c r="A2" s="5"/>
      <c r="B2" s="5" t="s">
        <v>4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3</v>
      </c>
    </row>
    <row r="3" spans="1:7" x14ac:dyDescent="0.25">
      <c r="A3" s="1" t="s">
        <v>6</v>
      </c>
      <c r="B3" s="11">
        <v>44000</v>
      </c>
      <c r="C3" s="11">
        <v>35000</v>
      </c>
      <c r="D3" s="11">
        <v>14000</v>
      </c>
      <c r="E3" s="11">
        <v>21000</v>
      </c>
      <c r="F3" s="11">
        <v>18000</v>
      </c>
      <c r="G3" s="11">
        <v>7000</v>
      </c>
    </row>
    <row r="4" spans="1:7" x14ac:dyDescent="0.25">
      <c r="A4" s="1" t="s">
        <v>9</v>
      </c>
      <c r="B4" s="11"/>
      <c r="C4" s="11"/>
      <c r="D4" s="11">
        <v>0.6</v>
      </c>
      <c r="E4" s="11">
        <v>0.48</v>
      </c>
      <c r="F4" s="11">
        <v>0.43</v>
      </c>
      <c r="G4" s="11">
        <v>0.41</v>
      </c>
    </row>
    <row r="5" spans="1:7" x14ac:dyDescent="0.25">
      <c r="A5" s="1" t="s">
        <v>10</v>
      </c>
      <c r="B5" s="11">
        <v>2</v>
      </c>
      <c r="C5" s="11">
        <v>2</v>
      </c>
      <c r="D5" s="11">
        <v>2</v>
      </c>
      <c r="E5" s="11">
        <v>2</v>
      </c>
      <c r="F5" s="11">
        <v>2</v>
      </c>
      <c r="G5" s="11">
        <v>2</v>
      </c>
    </row>
    <row r="6" spans="1:7" x14ac:dyDescent="0.25">
      <c r="A6" s="1" t="s">
        <v>11</v>
      </c>
      <c r="B6" s="11">
        <f t="shared" ref="B6:G6" si="0">(B4+B5)*B3</f>
        <v>88000</v>
      </c>
      <c r="C6" s="11">
        <f t="shared" si="0"/>
        <v>70000</v>
      </c>
      <c r="D6" s="11">
        <f t="shared" si="0"/>
        <v>36400</v>
      </c>
      <c r="E6" s="11">
        <f t="shared" si="0"/>
        <v>52080</v>
      </c>
      <c r="F6" s="11">
        <f t="shared" si="0"/>
        <v>43740</v>
      </c>
      <c r="G6" s="11">
        <f t="shared" si="0"/>
        <v>16870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7"/>
  <sheetViews>
    <sheetView workbookViewId="0">
      <selection activeCell="B3" sqref="B3:G7"/>
    </sheetView>
  </sheetViews>
  <sheetFormatPr baseColWidth="10" defaultRowHeight="15" x14ac:dyDescent="0.25"/>
  <cols>
    <col min="1" max="1" width="31.5703125" customWidth="1"/>
  </cols>
  <sheetData>
    <row r="2" spans="1:7" ht="31.5" x14ac:dyDescent="0.25">
      <c r="A2" s="5"/>
      <c r="B2" s="5" t="s">
        <v>4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3</v>
      </c>
    </row>
    <row r="3" spans="1:7" x14ac:dyDescent="0.25">
      <c r="A3" s="1" t="s">
        <v>7</v>
      </c>
      <c r="B3" s="11"/>
      <c r="C3" s="11"/>
      <c r="D3" s="11"/>
      <c r="E3" s="11"/>
      <c r="F3" s="11"/>
      <c r="G3" s="11"/>
    </row>
    <row r="4" spans="1:7" x14ac:dyDescent="0.25">
      <c r="A4" s="1" t="s">
        <v>12</v>
      </c>
      <c r="B4" s="12"/>
      <c r="C4" s="12"/>
      <c r="D4" s="12"/>
      <c r="E4" s="12"/>
      <c r="F4" s="12"/>
      <c r="G4" s="12"/>
    </row>
    <row r="5" spans="1:7" x14ac:dyDescent="0.25">
      <c r="A5" s="1" t="s">
        <v>13</v>
      </c>
      <c r="B5" s="13"/>
      <c r="C5" s="13"/>
      <c r="D5" s="13"/>
      <c r="E5" s="13"/>
      <c r="F5" s="13"/>
      <c r="G5" s="13"/>
    </row>
    <row r="6" spans="1:7" x14ac:dyDescent="0.25">
      <c r="A6" s="1" t="s">
        <v>14</v>
      </c>
      <c r="B6" s="12"/>
      <c r="C6" s="12"/>
      <c r="D6" s="12"/>
      <c r="E6" s="12"/>
      <c r="F6" s="12"/>
      <c r="G6" s="12"/>
    </row>
    <row r="7" spans="1:7" x14ac:dyDescent="0.25">
      <c r="A7" s="1" t="s">
        <v>0</v>
      </c>
      <c r="B7" s="14"/>
      <c r="C7" s="14"/>
      <c r="D7" s="14"/>
      <c r="E7" s="14"/>
      <c r="F7" s="14"/>
      <c r="G7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7"/>
  <sheetViews>
    <sheetView tabSelected="1" workbookViewId="0">
      <selection activeCell="A2" sqref="A2:G7"/>
    </sheetView>
  </sheetViews>
  <sheetFormatPr baseColWidth="10" defaultRowHeight="15" x14ac:dyDescent="0.25"/>
  <cols>
    <col min="1" max="1" width="31.28515625" customWidth="1"/>
    <col min="2" max="2" width="14.7109375" customWidth="1"/>
    <col min="3" max="3" width="13.42578125" customWidth="1"/>
    <col min="4" max="4" width="12.42578125" customWidth="1"/>
    <col min="5" max="5" width="12.140625" customWidth="1"/>
    <col min="6" max="6" width="12.42578125" customWidth="1"/>
    <col min="7" max="7" width="13.5703125" customWidth="1"/>
  </cols>
  <sheetData>
    <row r="2" spans="1:7" ht="31.5" x14ac:dyDescent="0.25">
      <c r="A2" s="5"/>
      <c r="B2" s="5" t="s">
        <v>4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3</v>
      </c>
    </row>
    <row r="3" spans="1:7" x14ac:dyDescent="0.25">
      <c r="A3" s="1" t="s">
        <v>7</v>
      </c>
      <c r="B3" s="11">
        <v>3186</v>
      </c>
      <c r="C3" s="11">
        <v>1854</v>
      </c>
      <c r="D3" s="11">
        <v>621</v>
      </c>
      <c r="E3" s="11">
        <v>218</v>
      </c>
      <c r="F3" s="11">
        <v>198</v>
      </c>
      <c r="G3" s="11">
        <v>75</v>
      </c>
    </row>
    <row r="4" spans="1:7" x14ac:dyDescent="0.25">
      <c r="A4" s="1" t="s">
        <v>12</v>
      </c>
      <c r="B4" s="12">
        <v>120.88</v>
      </c>
      <c r="C4" s="12">
        <v>120.88</v>
      </c>
      <c r="D4" s="12">
        <v>120.88</v>
      </c>
      <c r="E4" s="12">
        <v>120.88</v>
      </c>
      <c r="F4" s="12">
        <v>120.88</v>
      </c>
      <c r="G4" s="12">
        <v>120.88</v>
      </c>
    </row>
    <row r="5" spans="1:7" x14ac:dyDescent="0.25">
      <c r="A5" s="1" t="s">
        <v>13</v>
      </c>
      <c r="B5" s="13">
        <f>B3*B4</f>
        <v>385123.68</v>
      </c>
      <c r="C5" s="13">
        <f t="shared" ref="C5:G5" si="0">C3*C4</f>
        <v>224111.52</v>
      </c>
      <c r="D5" s="13">
        <f t="shared" si="0"/>
        <v>75066.48</v>
      </c>
      <c r="E5" s="13">
        <f t="shared" si="0"/>
        <v>26351.84</v>
      </c>
      <c r="F5" s="13">
        <f t="shared" si="0"/>
        <v>23934.239999999998</v>
      </c>
      <c r="G5" s="13">
        <f t="shared" si="0"/>
        <v>9066</v>
      </c>
    </row>
    <row r="6" spans="1:7" x14ac:dyDescent="0.25">
      <c r="A6" s="1" t="s">
        <v>14</v>
      </c>
      <c r="B6" s="12">
        <f>Exercice8_Consigne2_corrigé!B6</f>
        <v>88000</v>
      </c>
      <c r="C6" s="12">
        <f>Exercice8_Consigne2_corrigé!C6</f>
        <v>70000</v>
      </c>
      <c r="D6" s="12">
        <f>Exercice8_Consigne2_corrigé!D6</f>
        <v>36400</v>
      </c>
      <c r="E6" s="12">
        <f>Exercice8_Consigne2_corrigé!E6</f>
        <v>52080</v>
      </c>
      <c r="F6" s="12">
        <f>Exercice8_Consigne2_corrigé!F6</f>
        <v>43740</v>
      </c>
      <c r="G6" s="12">
        <f>Exercice8_Consigne2_corrigé!G6</f>
        <v>16870</v>
      </c>
    </row>
    <row r="7" spans="1:7" x14ac:dyDescent="0.25">
      <c r="A7" s="1" t="s">
        <v>0</v>
      </c>
      <c r="B7" s="14">
        <f>B5-B6</f>
        <v>297123.68</v>
      </c>
      <c r="C7" s="14">
        <f t="shared" ref="C7:G7" si="1">C5-C6</f>
        <v>154111.51999999999</v>
      </c>
      <c r="D7" s="14">
        <f t="shared" si="1"/>
        <v>38666.479999999996</v>
      </c>
      <c r="E7" s="14">
        <f t="shared" si="1"/>
        <v>-25728.16</v>
      </c>
      <c r="F7" s="14">
        <f t="shared" si="1"/>
        <v>-19805.760000000002</v>
      </c>
      <c r="G7" s="14">
        <f t="shared" si="1"/>
        <v>-7804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21"/>
  <sheetViews>
    <sheetView workbookViewId="0">
      <selection activeCell="E24" sqref="E24"/>
    </sheetView>
  </sheetViews>
  <sheetFormatPr baseColWidth="10" defaultRowHeight="15" x14ac:dyDescent="0.25"/>
  <cols>
    <col min="1" max="1" width="32.140625" customWidth="1"/>
  </cols>
  <sheetData>
    <row r="2" spans="1:4" x14ac:dyDescent="0.25">
      <c r="A2" s="6" t="s">
        <v>15</v>
      </c>
      <c r="B2" s="7"/>
      <c r="C2" s="7"/>
      <c r="D2" s="7"/>
    </row>
    <row r="3" spans="1:4" x14ac:dyDescent="0.25">
      <c r="A3" s="1" t="s">
        <v>16</v>
      </c>
      <c r="B3" s="1"/>
      <c r="C3" s="1"/>
      <c r="D3" s="1"/>
    </row>
    <row r="4" spans="1:4" x14ac:dyDescent="0.25">
      <c r="A4" s="1" t="s">
        <v>17</v>
      </c>
      <c r="B4" s="1"/>
      <c r="C4" s="1"/>
      <c r="D4" s="1"/>
    </row>
    <row r="5" spans="1:4" x14ac:dyDescent="0.25">
      <c r="A5" s="1" t="s">
        <v>18</v>
      </c>
      <c r="B5" s="1"/>
      <c r="C5" s="1"/>
      <c r="D5" s="1"/>
    </row>
    <row r="6" spans="1:4" x14ac:dyDescent="0.25">
      <c r="A6" s="8" t="s">
        <v>19</v>
      </c>
      <c r="B6" s="1"/>
      <c r="C6" s="1"/>
      <c r="D6" s="1"/>
    </row>
    <row r="7" spans="1:4" x14ac:dyDescent="0.25">
      <c r="A7" s="1" t="s">
        <v>20</v>
      </c>
      <c r="B7" s="1"/>
      <c r="C7" s="1"/>
      <c r="D7" s="1"/>
    </row>
    <row r="8" spans="1:4" x14ac:dyDescent="0.25">
      <c r="A8" s="1" t="s">
        <v>21</v>
      </c>
      <c r="B8" s="1"/>
      <c r="C8" s="9"/>
      <c r="D8" s="1"/>
    </row>
    <row r="9" spans="1:4" x14ac:dyDescent="0.25">
      <c r="A9" s="8" t="s">
        <v>22</v>
      </c>
      <c r="B9" s="1"/>
      <c r="C9" s="1"/>
      <c r="D9" s="1"/>
    </row>
    <row r="10" spans="1:4" x14ac:dyDescent="0.25">
      <c r="A10" s="1" t="s">
        <v>20</v>
      </c>
      <c r="B10" s="1"/>
      <c r="C10" s="1"/>
      <c r="D10" s="1"/>
    </row>
    <row r="11" spans="1:4" x14ac:dyDescent="0.25">
      <c r="A11" s="1" t="s">
        <v>21</v>
      </c>
      <c r="B11" s="1"/>
      <c r="C11" s="9"/>
      <c r="D11" s="1"/>
    </row>
    <row r="12" spans="1:4" x14ac:dyDescent="0.25">
      <c r="A12" s="6" t="s">
        <v>23</v>
      </c>
      <c r="B12" s="7"/>
      <c r="C12" s="7"/>
      <c r="D12" s="7"/>
    </row>
    <row r="13" spans="1:4" x14ac:dyDescent="0.25">
      <c r="A13" s="8" t="s">
        <v>19</v>
      </c>
      <c r="B13" s="1"/>
      <c r="C13" s="1"/>
      <c r="D13" s="1"/>
    </row>
    <row r="14" spans="1:4" x14ac:dyDescent="0.25">
      <c r="A14" s="1" t="s">
        <v>24</v>
      </c>
      <c r="B14" s="1"/>
      <c r="C14" s="1"/>
      <c r="D14" s="1"/>
    </row>
    <row r="15" spans="1:4" x14ac:dyDescent="0.25">
      <c r="A15" s="1" t="s">
        <v>25</v>
      </c>
      <c r="B15" s="1"/>
      <c r="C15" s="1"/>
      <c r="D15" s="1"/>
    </row>
    <row r="16" spans="1:4" x14ac:dyDescent="0.25">
      <c r="A16" s="1"/>
      <c r="B16" s="1"/>
      <c r="C16" s="1"/>
      <c r="D16" s="8"/>
    </row>
    <row r="17" spans="1:4" x14ac:dyDescent="0.25">
      <c r="A17" s="8" t="s">
        <v>22</v>
      </c>
      <c r="B17" s="1"/>
      <c r="C17" s="1"/>
      <c r="D17" s="1"/>
    </row>
    <row r="18" spans="1:4" x14ac:dyDescent="0.25">
      <c r="A18" s="1" t="s">
        <v>24</v>
      </c>
      <c r="B18" s="1"/>
      <c r="C18" s="1"/>
      <c r="D18" s="1"/>
    </row>
    <row r="19" spans="1:4" x14ac:dyDescent="0.25">
      <c r="A19" s="1" t="s">
        <v>26</v>
      </c>
      <c r="B19" s="1"/>
      <c r="C19" s="1"/>
      <c r="D19" s="1"/>
    </row>
    <row r="20" spans="1:4" x14ac:dyDescent="0.25">
      <c r="A20" s="1" t="s">
        <v>27</v>
      </c>
      <c r="B20" s="1"/>
      <c r="C20" s="1"/>
      <c r="D20" s="1"/>
    </row>
    <row r="21" spans="1:4" x14ac:dyDescent="0.25">
      <c r="A21" s="1"/>
      <c r="B21" s="1"/>
      <c r="C21" s="1"/>
      <c r="D21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21"/>
  <sheetViews>
    <sheetView workbookViewId="0">
      <selection activeCell="N33" sqref="N33"/>
    </sheetView>
  </sheetViews>
  <sheetFormatPr baseColWidth="10" defaultRowHeight="15" x14ac:dyDescent="0.25"/>
  <cols>
    <col min="1" max="1" width="32.140625" customWidth="1"/>
  </cols>
  <sheetData>
    <row r="2" spans="1:4" x14ac:dyDescent="0.25">
      <c r="A2" s="6" t="s">
        <v>15</v>
      </c>
      <c r="B2" s="7"/>
      <c r="C2" s="7"/>
      <c r="D2" s="7"/>
    </row>
    <row r="3" spans="1:4" x14ac:dyDescent="0.25">
      <c r="A3" s="1" t="s">
        <v>16</v>
      </c>
      <c r="B3" s="15">
        <v>20</v>
      </c>
      <c r="C3" s="15"/>
      <c r="D3" s="15"/>
    </row>
    <row r="4" spans="1:4" x14ac:dyDescent="0.25">
      <c r="A4" s="1" t="s">
        <v>17</v>
      </c>
      <c r="B4" s="15">
        <f>B3*C4</f>
        <v>100</v>
      </c>
      <c r="C4" s="15">
        <v>5</v>
      </c>
      <c r="D4" s="15"/>
    </row>
    <row r="5" spans="1:4" x14ac:dyDescent="0.25">
      <c r="A5" s="1" t="s">
        <v>18</v>
      </c>
      <c r="B5" s="15">
        <f>B4*C5</f>
        <v>800</v>
      </c>
      <c r="C5" s="15">
        <v>8</v>
      </c>
      <c r="D5" s="15"/>
    </row>
    <row r="6" spans="1:4" x14ac:dyDescent="0.25">
      <c r="A6" s="8" t="s">
        <v>19</v>
      </c>
      <c r="B6" s="15"/>
      <c r="C6" s="15"/>
      <c r="D6" s="15"/>
    </row>
    <row r="7" spans="1:4" x14ac:dyDescent="0.25">
      <c r="A7" s="1" t="s">
        <v>20</v>
      </c>
      <c r="B7" s="15">
        <f>B5*C7</f>
        <v>2400</v>
      </c>
      <c r="C7" s="15">
        <v>3</v>
      </c>
      <c r="D7" s="15"/>
    </row>
    <row r="8" spans="1:4" x14ac:dyDescent="0.25">
      <c r="A8" s="1" t="s">
        <v>21</v>
      </c>
      <c r="B8" s="15">
        <f>B7/(1-0.2)</f>
        <v>3000</v>
      </c>
      <c r="C8" s="16">
        <v>0.2</v>
      </c>
      <c r="D8" s="15"/>
    </row>
    <row r="9" spans="1:4" x14ac:dyDescent="0.25">
      <c r="A9" s="8" t="s">
        <v>22</v>
      </c>
      <c r="B9" s="15"/>
      <c r="C9" s="15"/>
      <c r="D9" s="15"/>
    </row>
    <row r="10" spans="1:4" x14ac:dyDescent="0.25">
      <c r="A10" s="1" t="s">
        <v>20</v>
      </c>
      <c r="B10" s="15">
        <f>B5*C10</f>
        <v>4000</v>
      </c>
      <c r="C10" s="15">
        <v>5</v>
      </c>
      <c r="D10" s="15"/>
    </row>
    <row r="11" spans="1:4" x14ac:dyDescent="0.25">
      <c r="A11" s="1" t="s">
        <v>21</v>
      </c>
      <c r="B11" s="15">
        <f>B10/(0.8)</f>
        <v>5000</v>
      </c>
      <c r="C11" s="16">
        <v>0.2</v>
      </c>
      <c r="D11" s="15"/>
    </row>
    <row r="12" spans="1:4" x14ac:dyDescent="0.25">
      <c r="A12" s="6" t="s">
        <v>23</v>
      </c>
      <c r="B12" s="17"/>
      <c r="C12" s="17"/>
      <c r="D12" s="17"/>
    </row>
    <row r="13" spans="1:4" x14ac:dyDescent="0.25">
      <c r="A13" s="8" t="s">
        <v>19</v>
      </c>
      <c r="B13" s="15"/>
      <c r="C13" s="15"/>
      <c r="D13" s="15"/>
    </row>
    <row r="14" spans="1:4" x14ac:dyDescent="0.25">
      <c r="A14" s="1" t="s">
        <v>24</v>
      </c>
      <c r="B14" s="15">
        <f>B8</f>
        <v>3000</v>
      </c>
      <c r="C14" s="15">
        <v>0.8</v>
      </c>
      <c r="D14" s="15">
        <f>B14*C14</f>
        <v>2400</v>
      </c>
    </row>
    <row r="15" spans="1:4" x14ac:dyDescent="0.25">
      <c r="A15" s="1" t="s">
        <v>25</v>
      </c>
      <c r="B15" s="15"/>
      <c r="C15" s="15"/>
      <c r="D15" s="15">
        <v>800</v>
      </c>
    </row>
    <row r="16" spans="1:4" x14ac:dyDescent="0.25">
      <c r="A16" s="1"/>
      <c r="B16" s="15"/>
      <c r="C16" s="15"/>
      <c r="D16" s="18">
        <f>SUM(D14:D15)</f>
        <v>3200</v>
      </c>
    </row>
    <row r="17" spans="1:4" x14ac:dyDescent="0.25">
      <c r="A17" s="8" t="s">
        <v>22</v>
      </c>
      <c r="B17" s="15"/>
      <c r="C17" s="15"/>
      <c r="D17" s="15"/>
    </row>
    <row r="18" spans="1:4" x14ac:dyDescent="0.25">
      <c r="A18" s="1" t="s">
        <v>24</v>
      </c>
      <c r="B18" s="15">
        <f>B11</f>
        <v>5000</v>
      </c>
      <c r="C18" s="15">
        <v>0.2</v>
      </c>
      <c r="D18" s="15">
        <f>B18*C18</f>
        <v>1000</v>
      </c>
    </row>
    <row r="19" spans="1:4" x14ac:dyDescent="0.25">
      <c r="A19" s="1" t="s">
        <v>26</v>
      </c>
      <c r="B19" s="15"/>
      <c r="C19" s="15"/>
      <c r="D19" s="15">
        <v>250</v>
      </c>
    </row>
    <row r="20" spans="1:4" x14ac:dyDescent="0.25">
      <c r="A20" s="1" t="s">
        <v>27</v>
      </c>
      <c r="B20" s="15">
        <f>B11</f>
        <v>5000</v>
      </c>
      <c r="C20" s="15">
        <v>0.4</v>
      </c>
      <c r="D20" s="15">
        <f>B20*C20</f>
        <v>2000</v>
      </c>
    </row>
    <row r="21" spans="1:4" x14ac:dyDescent="0.25">
      <c r="A21" s="1"/>
      <c r="B21" s="15"/>
      <c r="C21" s="15"/>
      <c r="D21" s="18">
        <f>SUM(D18:D20)</f>
        <v>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Exercice8_Consigne1</vt:lpstr>
      <vt:lpstr>Exercice8_Consigne1_corrigé</vt:lpstr>
      <vt:lpstr>Exercice8_Consigne2</vt:lpstr>
      <vt:lpstr>Exercice8_Consigne2_corrigé</vt:lpstr>
      <vt:lpstr>Exercice8_Consigne4</vt:lpstr>
      <vt:lpstr>Exercice8_Consigne4_corrigé</vt:lpstr>
      <vt:lpstr>Exercice10</vt:lpstr>
      <vt:lpstr>Exercice10_corrigé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2018-01-29T09:46:29Z</dcterms:created>
  <dcterms:modified xsi:type="dcterms:W3CDTF">2022-06-14T13:14:27Z</dcterms:modified>
</cp:coreProperties>
</file>