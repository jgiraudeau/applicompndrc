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Guides pédago revus par Chloé/CHAP10/"/>
    </mc:Choice>
  </mc:AlternateContent>
  <xr:revisionPtr revIDLastSave="10" documentId="8_{8819CE29-1B04-4AB4-8C8B-2EF4A48DCF3D}" xr6:coauthVersionLast="47" xr6:coauthVersionMax="47" xr10:uidLastSave="{3538C025-1469-45C6-8B02-25D39BF3CCE1}"/>
  <bookViews>
    <workbookView xWindow="28680" yWindow="750" windowWidth="25440" windowHeight="15390" activeTab="3" xr2:uid="{00000000-000D-0000-FFFF-FFFF00000000}"/>
  </bookViews>
  <sheets>
    <sheet name="Missions2&amp;3_Consignes3 à 5" sheetId="2" r:id="rId1"/>
    <sheet name="Missions2&amp;3_3 à 5_corrigé" sheetId="1" r:id="rId2"/>
    <sheet name="Mission3_Consigne6" sheetId="4" r:id="rId3"/>
    <sheet name="Mission3_Consigne_corrigé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3" l="1"/>
  <c r="E12" i="3"/>
  <c r="D12" i="3"/>
  <c r="C12" i="3"/>
  <c r="B12" i="3"/>
  <c r="F33" i="1" l="1"/>
  <c r="C33" i="1"/>
  <c r="D33" i="1"/>
  <c r="E33" i="1"/>
  <c r="B33" i="1"/>
  <c r="G33" i="1" s="1"/>
  <c r="F21" i="1"/>
  <c r="F18" i="1"/>
  <c r="F19" i="1" s="1"/>
  <c r="F12" i="1"/>
  <c r="F13" i="1" s="1"/>
  <c r="F3" i="1"/>
  <c r="F4" i="1" l="1"/>
  <c r="F5" i="1" s="1"/>
  <c r="F7" i="1" s="1"/>
  <c r="F14" i="1"/>
  <c r="F16" i="1" s="1"/>
</calcChain>
</file>

<file path=xl/sharedStrings.xml><?xml version="1.0" encoding="utf-8"?>
<sst xmlns="http://schemas.openxmlformats.org/spreadsheetml/2006/main" count="89" uniqueCount="24">
  <si>
    <t>Pour un CA quelconque</t>
  </si>
  <si>
    <t>Eléments</t>
  </si>
  <si>
    <t>Montants</t>
  </si>
  <si>
    <t>C.A.</t>
  </si>
  <si>
    <t>- 80 % C.A.</t>
  </si>
  <si>
    <t>= 20 % C.A.</t>
  </si>
  <si>
    <t>Résultat</t>
  </si>
  <si>
    <t>MSCV</t>
  </si>
  <si>
    <t>CV</t>
  </si>
  <si>
    <t>CF</t>
  </si>
  <si>
    <t>20 % C.A. - 6 250</t>
  </si>
  <si>
    <t>Pour 4 ventes</t>
  </si>
  <si>
    <t>Pour 6 ventes</t>
  </si>
  <si>
    <t>Éléments</t>
  </si>
  <si>
    <t>Année 1</t>
  </si>
  <si>
    <t>Année 2</t>
  </si>
  <si>
    <t>Année 3</t>
  </si>
  <si>
    <t>Année 4</t>
  </si>
  <si>
    <t>Chiffre d’affaires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</si>
  <si>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Times New Roman"/>
        <family val="1"/>
      </rPr>
      <t>Installation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</si>
  <si>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Times New Roman"/>
        <family val="1"/>
      </rPr>
      <t>contrat d’entretien</t>
    </r>
  </si>
  <si>
    <t>Coûts des produits</t>
  </si>
  <si>
    <t>Coût du salon</t>
  </si>
  <si>
    <t>Année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</si>
</sst>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 wrapText="1"/>
    </xf>
    <xf numFmtId="3" fontId="0" fillId="0" borderId="0" xfId="0" applyNumberFormat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5"/>
    </xf>
    <xf numFmtId="0" fontId="0" fillId="0" borderId="2" xfId="0" applyBorder="1"/>
    <xf numFmtId="3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0" xfId="0" applyFont="1"/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9"/>
  <sheetViews>
    <sheetView workbookViewId="0">
      <selection activeCell="B29" sqref="B29"/>
    </sheetView>
  </sheetViews>
  <sheetFormatPr baseColWidth="10" defaultRowHeight="15" x14ac:dyDescent="0.25"/>
  <cols>
    <col min="6" max="6" width="15.28515625" customWidth="1"/>
  </cols>
  <sheetData>
    <row r="2" spans="1:6" x14ac:dyDescent="0.25">
      <c r="A2" s="5" t="s">
        <v>8</v>
      </c>
      <c r="B2" s="5" t="s">
        <v>4</v>
      </c>
      <c r="E2" s="5" t="s">
        <v>8</v>
      </c>
      <c r="F2" s="12"/>
    </row>
    <row r="3" spans="1:6" ht="30" x14ac:dyDescent="0.25">
      <c r="A3" s="5" t="s">
        <v>7</v>
      </c>
      <c r="B3" s="5" t="s">
        <v>5</v>
      </c>
      <c r="E3" s="5" t="s">
        <v>7</v>
      </c>
      <c r="F3" s="11"/>
    </row>
    <row r="4" spans="1:6" x14ac:dyDescent="0.25">
      <c r="A4" s="5" t="s">
        <v>9</v>
      </c>
      <c r="B4" s="6">
        <v>-6250</v>
      </c>
      <c r="E4" s="5" t="s">
        <v>9</v>
      </c>
      <c r="F4" s="11"/>
    </row>
    <row r="5" spans="1:6" ht="30" x14ac:dyDescent="0.25">
      <c r="A5" s="5" t="s">
        <v>6</v>
      </c>
      <c r="B5" s="5" t="s">
        <v>10</v>
      </c>
      <c r="E5" s="5" t="s">
        <v>6</v>
      </c>
      <c r="F5" s="11"/>
    </row>
    <row r="8" spans="1:6" x14ac:dyDescent="0.25">
      <c r="E8" s="15" t="s">
        <v>12</v>
      </c>
      <c r="F8" s="15"/>
    </row>
    <row r="9" spans="1:6" x14ac:dyDescent="0.25">
      <c r="E9" s="4" t="s">
        <v>1</v>
      </c>
      <c r="F9" s="5" t="s">
        <v>2</v>
      </c>
    </row>
    <row r="10" spans="1:6" x14ac:dyDescent="0.25">
      <c r="E10" s="5" t="s">
        <v>3</v>
      </c>
      <c r="F10" s="11"/>
    </row>
    <row r="11" spans="1:6" x14ac:dyDescent="0.25">
      <c r="E11" s="5" t="s">
        <v>8</v>
      </c>
      <c r="F11" s="12"/>
    </row>
    <row r="12" spans="1:6" x14ac:dyDescent="0.25">
      <c r="E12" s="5" t="s">
        <v>7</v>
      </c>
      <c r="F12" s="11"/>
    </row>
    <row r="13" spans="1:6" x14ac:dyDescent="0.25">
      <c r="E13" s="5" t="s">
        <v>9</v>
      </c>
      <c r="F13" s="11"/>
    </row>
    <row r="14" spans="1:6" x14ac:dyDescent="0.25">
      <c r="E14" s="5" t="s">
        <v>6</v>
      </c>
      <c r="F14" s="11"/>
    </row>
    <row r="16" spans="1:6" x14ac:dyDescent="0.25">
      <c r="F16" s="13"/>
    </row>
    <row r="17" spans="6:6" x14ac:dyDescent="0.25">
      <c r="F17" s="13"/>
    </row>
    <row r="18" spans="6:6" x14ac:dyDescent="0.25">
      <c r="F18" s="13"/>
    </row>
    <row r="19" spans="6:6" x14ac:dyDescent="0.25">
      <c r="F19" s="13"/>
    </row>
  </sheetData>
  <mergeCells count="1">
    <mergeCell ref="E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opLeftCell="A7" workbookViewId="0">
      <selection activeCell="K26" sqref="K26"/>
    </sheetView>
  </sheetViews>
  <sheetFormatPr baseColWidth="10" defaultRowHeight="15" x14ac:dyDescent="0.25"/>
  <cols>
    <col min="1" max="1" width="16.85546875" customWidth="1"/>
    <col min="2" max="2" width="17" customWidth="1"/>
  </cols>
  <sheetData>
    <row r="1" spans="1:8" x14ac:dyDescent="0.25">
      <c r="A1" s="15" t="s">
        <v>0</v>
      </c>
      <c r="B1" s="15"/>
      <c r="E1" s="15" t="s">
        <v>11</v>
      </c>
      <c r="F1" s="15"/>
      <c r="G1" s="1"/>
    </row>
    <row r="2" spans="1:8" x14ac:dyDescent="0.25">
      <c r="A2" s="5" t="s">
        <v>1</v>
      </c>
      <c r="B2" s="5" t="s">
        <v>2</v>
      </c>
      <c r="E2" s="4" t="s">
        <v>1</v>
      </c>
      <c r="F2" s="5" t="s">
        <v>2</v>
      </c>
      <c r="G2" s="1"/>
    </row>
    <row r="3" spans="1:8" x14ac:dyDescent="0.25">
      <c r="A3" s="5" t="s">
        <v>3</v>
      </c>
      <c r="B3" s="5" t="s">
        <v>3</v>
      </c>
      <c r="E3" s="5" t="s">
        <v>3</v>
      </c>
      <c r="F3" s="11">
        <f>H3*G3</f>
        <v>26000</v>
      </c>
      <c r="G3" s="1">
        <v>4</v>
      </c>
      <c r="H3">
        <v>6500</v>
      </c>
    </row>
    <row r="4" spans="1:8" x14ac:dyDescent="0.25">
      <c r="A4" s="5" t="s">
        <v>8</v>
      </c>
      <c r="B4" s="5" t="s">
        <v>4</v>
      </c>
      <c r="E4" s="5" t="s">
        <v>8</v>
      </c>
      <c r="F4" s="12">
        <f>-0.8*F3</f>
        <v>-20800</v>
      </c>
      <c r="G4" s="3"/>
    </row>
    <row r="5" spans="1:8" x14ac:dyDescent="0.25">
      <c r="A5" s="5" t="s">
        <v>7</v>
      </c>
      <c r="B5" s="5" t="s">
        <v>5</v>
      </c>
      <c r="E5" s="5" t="s">
        <v>7</v>
      </c>
      <c r="F5" s="11">
        <f>F3+F4</f>
        <v>5200</v>
      </c>
      <c r="G5" s="1"/>
    </row>
    <row r="6" spans="1:8" x14ac:dyDescent="0.25">
      <c r="A6" s="5" t="s">
        <v>9</v>
      </c>
      <c r="B6" s="6">
        <v>-6250</v>
      </c>
      <c r="E6" s="5" t="s">
        <v>9</v>
      </c>
      <c r="F6" s="11">
        <v>-6250</v>
      </c>
      <c r="G6" s="1"/>
    </row>
    <row r="7" spans="1:8" x14ac:dyDescent="0.25">
      <c r="A7" s="5" t="s">
        <v>6</v>
      </c>
      <c r="B7" s="5" t="s">
        <v>10</v>
      </c>
      <c r="E7" s="5" t="s">
        <v>6</v>
      </c>
      <c r="F7" s="11">
        <f>F5+F6</f>
        <v>-1050</v>
      </c>
      <c r="G7" s="1"/>
    </row>
    <row r="10" spans="1:8" x14ac:dyDescent="0.25">
      <c r="E10" s="15" t="s">
        <v>12</v>
      </c>
      <c r="F10" s="15"/>
      <c r="G10" s="1"/>
    </row>
    <row r="11" spans="1:8" x14ac:dyDescent="0.25">
      <c r="E11" s="4" t="s">
        <v>1</v>
      </c>
      <c r="F11" s="5" t="s">
        <v>2</v>
      </c>
      <c r="G11" s="1"/>
    </row>
    <row r="12" spans="1:8" x14ac:dyDescent="0.25">
      <c r="E12" s="5" t="s">
        <v>3</v>
      </c>
      <c r="F12" s="11">
        <f>H12*G12</f>
        <v>39000</v>
      </c>
      <c r="G12" s="1">
        <v>6</v>
      </c>
      <c r="H12">
        <v>6500</v>
      </c>
    </row>
    <row r="13" spans="1:8" x14ac:dyDescent="0.25">
      <c r="E13" s="5" t="s">
        <v>8</v>
      </c>
      <c r="F13" s="12">
        <f>-0.8*F12</f>
        <v>-31200</v>
      </c>
      <c r="G13" s="3"/>
    </row>
    <row r="14" spans="1:8" x14ac:dyDescent="0.25">
      <c r="E14" s="5" t="s">
        <v>7</v>
      </c>
      <c r="F14" s="11">
        <f>F12+F13</f>
        <v>7800</v>
      </c>
      <c r="G14" s="1"/>
    </row>
    <row r="15" spans="1:8" x14ac:dyDescent="0.25">
      <c r="E15" s="5" t="s">
        <v>9</v>
      </c>
      <c r="F15" s="11">
        <v>-6250</v>
      </c>
      <c r="G15" s="1"/>
    </row>
    <row r="16" spans="1:8" x14ac:dyDescent="0.25">
      <c r="E16" s="5" t="s">
        <v>6</v>
      </c>
      <c r="F16" s="11">
        <f>F14+F15</f>
        <v>1550</v>
      </c>
      <c r="G16" s="1"/>
    </row>
    <row r="18" spans="1:6" x14ac:dyDescent="0.25">
      <c r="F18" s="13">
        <f>F15/0.2</f>
        <v>-31250</v>
      </c>
    </row>
    <row r="19" spans="1:6" x14ac:dyDescent="0.25">
      <c r="F19" s="13">
        <f>F18/H12</f>
        <v>-4.8076923076923075</v>
      </c>
    </row>
    <row r="20" spans="1:6" x14ac:dyDescent="0.25">
      <c r="F20" s="13"/>
    </row>
    <row r="21" spans="1:6" x14ac:dyDescent="0.25">
      <c r="F21" s="13">
        <f>F6/4</f>
        <v>-1562.5</v>
      </c>
    </row>
    <row r="23" spans="1:6" ht="15.75" x14ac:dyDescent="0.25">
      <c r="A23" s="7" t="s">
        <v>13</v>
      </c>
      <c r="B23" s="8" t="s">
        <v>14</v>
      </c>
      <c r="C23" s="8" t="s">
        <v>15</v>
      </c>
      <c r="D23" s="8" t="s">
        <v>16</v>
      </c>
      <c r="E23" s="8" t="s">
        <v>17</v>
      </c>
      <c r="F23" s="8" t="s">
        <v>23</v>
      </c>
    </row>
    <row r="24" spans="1:6" ht="15.75" x14ac:dyDescent="0.25">
      <c r="A24" s="7" t="s">
        <v>18</v>
      </c>
      <c r="B24" s="8"/>
      <c r="C24" s="8"/>
      <c r="D24" s="8"/>
      <c r="E24" s="8"/>
      <c r="F24" s="8"/>
    </row>
    <row r="25" spans="1:6" ht="31.5" x14ac:dyDescent="0.25">
      <c r="A25" s="9" t="s">
        <v>19</v>
      </c>
      <c r="B25" s="6">
        <v>26000</v>
      </c>
      <c r="C25" s="6"/>
      <c r="D25" s="6"/>
      <c r="E25" s="6"/>
      <c r="F25" s="6"/>
    </row>
    <row r="26" spans="1:6" ht="47.25" x14ac:dyDescent="0.25">
      <c r="A26" s="9" t="s">
        <v>20</v>
      </c>
      <c r="B26" s="6">
        <v>0</v>
      </c>
      <c r="C26" s="6">
        <v>450</v>
      </c>
      <c r="D26" s="6">
        <v>450</v>
      </c>
      <c r="E26" s="6">
        <v>450</v>
      </c>
      <c r="F26" s="6">
        <v>450</v>
      </c>
    </row>
    <row r="27" spans="1:6" ht="15.75" x14ac:dyDescent="0.25">
      <c r="A27" s="7"/>
      <c r="B27" s="6"/>
      <c r="C27" s="6"/>
      <c r="D27" s="6"/>
      <c r="E27" s="6"/>
      <c r="F27" s="6"/>
    </row>
    <row r="28" spans="1:6" ht="31.5" x14ac:dyDescent="0.25">
      <c r="A28" s="7" t="s">
        <v>21</v>
      </c>
      <c r="B28" s="6"/>
      <c r="C28" s="6"/>
      <c r="D28" s="6"/>
      <c r="E28" s="6"/>
      <c r="F28" s="6"/>
    </row>
    <row r="29" spans="1:6" ht="31.5" x14ac:dyDescent="0.25">
      <c r="A29" s="9" t="s">
        <v>19</v>
      </c>
      <c r="B29" s="6">
        <v>-20800</v>
      </c>
      <c r="C29" s="6"/>
      <c r="D29" s="6"/>
      <c r="E29" s="6"/>
      <c r="F29" s="6"/>
    </row>
    <row r="30" spans="1:6" ht="47.25" x14ac:dyDescent="0.25">
      <c r="A30" s="9" t="s">
        <v>20</v>
      </c>
      <c r="B30" s="6">
        <v>-150</v>
      </c>
      <c r="C30" s="6">
        <v>-150</v>
      </c>
      <c r="D30" s="6">
        <v>-150</v>
      </c>
      <c r="E30" s="6">
        <v>-150</v>
      </c>
      <c r="F30" s="6">
        <v>-150</v>
      </c>
    </row>
    <row r="31" spans="1:6" ht="15.75" x14ac:dyDescent="0.25">
      <c r="A31" s="7"/>
      <c r="B31" s="6"/>
      <c r="C31" s="6"/>
      <c r="D31" s="6"/>
      <c r="E31" s="6"/>
      <c r="F31" s="6"/>
    </row>
    <row r="32" spans="1:6" ht="15.75" x14ac:dyDescent="0.25">
      <c r="A32" s="7" t="s">
        <v>22</v>
      </c>
      <c r="B32" s="6">
        <v>-6250</v>
      </c>
      <c r="C32" s="6"/>
      <c r="D32" s="6"/>
      <c r="E32" s="6"/>
      <c r="F32" s="6"/>
    </row>
    <row r="33" spans="1:7" x14ac:dyDescent="0.25">
      <c r="A33" s="10" t="s">
        <v>6</v>
      </c>
      <c r="B33" s="6">
        <f>SUM(B25:B32)</f>
        <v>-1200</v>
      </c>
      <c r="C33" s="6">
        <f t="shared" ref="C33:F33" si="0">SUM(C25:C32)</f>
        <v>300</v>
      </c>
      <c r="D33" s="6">
        <f t="shared" si="0"/>
        <v>300</v>
      </c>
      <c r="E33" s="6">
        <f t="shared" si="0"/>
        <v>300</v>
      </c>
      <c r="F33" s="6">
        <f t="shared" si="0"/>
        <v>300</v>
      </c>
      <c r="G33" s="2">
        <f>SUM(B33:F33)</f>
        <v>0</v>
      </c>
    </row>
  </sheetData>
  <mergeCells count="3">
    <mergeCell ref="E1:F1"/>
    <mergeCell ref="A1:B1"/>
    <mergeCell ref="E10:F10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2"/>
  <sheetViews>
    <sheetView workbookViewId="0">
      <selection activeCell="F19" sqref="F19"/>
    </sheetView>
  </sheetViews>
  <sheetFormatPr baseColWidth="10" defaultRowHeight="15" x14ac:dyDescent="0.25"/>
  <cols>
    <col min="1" max="1" width="20.85546875" customWidth="1"/>
  </cols>
  <sheetData>
    <row r="2" spans="1:6" ht="15.75" x14ac:dyDescent="0.25">
      <c r="A2" s="7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23</v>
      </c>
    </row>
    <row r="3" spans="1:6" ht="15.75" x14ac:dyDescent="0.25">
      <c r="A3" s="7" t="s">
        <v>18</v>
      </c>
      <c r="B3" s="14"/>
      <c r="C3" s="14"/>
      <c r="D3" s="14"/>
      <c r="E3" s="14"/>
      <c r="F3" s="14"/>
    </row>
    <row r="4" spans="1:6" ht="33.75" customHeight="1" x14ac:dyDescent="0.25">
      <c r="A4" s="9" t="s">
        <v>19</v>
      </c>
      <c r="B4" s="11"/>
      <c r="C4" s="11"/>
      <c r="D4" s="11"/>
      <c r="E4" s="11"/>
      <c r="F4" s="11"/>
    </row>
    <row r="5" spans="1:6" ht="50.25" customHeight="1" x14ac:dyDescent="0.25">
      <c r="A5" s="9" t="s">
        <v>20</v>
      </c>
      <c r="B5" s="11"/>
      <c r="C5" s="11"/>
      <c r="D5" s="11"/>
      <c r="E5" s="11"/>
      <c r="F5" s="11"/>
    </row>
    <row r="6" spans="1:6" ht="15.75" x14ac:dyDescent="0.25">
      <c r="A6" s="7"/>
      <c r="B6" s="11"/>
      <c r="C6" s="11"/>
      <c r="D6" s="11"/>
      <c r="E6" s="11"/>
      <c r="F6" s="11"/>
    </row>
    <row r="7" spans="1:6" ht="15.75" x14ac:dyDescent="0.25">
      <c r="A7" s="7" t="s">
        <v>21</v>
      </c>
      <c r="B7" s="11"/>
      <c r="C7" s="11"/>
      <c r="D7" s="11"/>
      <c r="E7" s="11"/>
      <c r="F7" s="11"/>
    </row>
    <row r="8" spans="1:6" ht="34.5" customHeight="1" x14ac:dyDescent="0.25">
      <c r="A8" s="9" t="s">
        <v>19</v>
      </c>
      <c r="B8" s="11"/>
      <c r="C8" s="11"/>
      <c r="D8" s="11"/>
      <c r="E8" s="11"/>
      <c r="F8" s="11"/>
    </row>
    <row r="9" spans="1:6" ht="46.5" customHeight="1" x14ac:dyDescent="0.25">
      <c r="A9" s="9" t="s">
        <v>20</v>
      </c>
      <c r="B9" s="11"/>
      <c r="C9" s="11"/>
      <c r="D9" s="11"/>
      <c r="E9" s="11"/>
      <c r="F9" s="11"/>
    </row>
    <row r="10" spans="1:6" ht="15.75" x14ac:dyDescent="0.25">
      <c r="A10" s="7"/>
      <c r="B10" s="11"/>
      <c r="C10" s="11"/>
      <c r="D10" s="11"/>
      <c r="E10" s="11"/>
      <c r="F10" s="11"/>
    </row>
    <row r="11" spans="1:6" ht="15.75" x14ac:dyDescent="0.25">
      <c r="A11" s="7" t="s">
        <v>22</v>
      </c>
      <c r="B11" s="11"/>
      <c r="C11" s="11"/>
      <c r="D11" s="11"/>
      <c r="E11" s="11"/>
      <c r="F11" s="11"/>
    </row>
    <row r="12" spans="1:6" x14ac:dyDescent="0.25">
      <c r="A12" s="10" t="s">
        <v>6</v>
      </c>
      <c r="B12" s="11"/>
      <c r="C12" s="11"/>
      <c r="D12" s="11"/>
      <c r="E12" s="11"/>
      <c r="F12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2"/>
  <sheetViews>
    <sheetView tabSelected="1" workbookViewId="0">
      <selection activeCell="G18" sqref="G18"/>
    </sheetView>
  </sheetViews>
  <sheetFormatPr baseColWidth="10" defaultRowHeight="15" x14ac:dyDescent="0.25"/>
  <cols>
    <col min="1" max="1" width="20.42578125" customWidth="1"/>
  </cols>
  <sheetData>
    <row r="2" spans="1:6" ht="15.75" x14ac:dyDescent="0.25">
      <c r="A2" s="7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23</v>
      </c>
    </row>
    <row r="3" spans="1:6" ht="15.75" x14ac:dyDescent="0.25">
      <c r="A3" s="7" t="s">
        <v>18</v>
      </c>
      <c r="B3" s="14"/>
      <c r="C3" s="14"/>
      <c r="D3" s="14"/>
      <c r="E3" s="14"/>
      <c r="F3" s="14"/>
    </row>
    <row r="4" spans="1:6" ht="42.75" customHeight="1" x14ac:dyDescent="0.25">
      <c r="A4" s="9" t="s">
        <v>19</v>
      </c>
      <c r="B4" s="11">
        <v>26000</v>
      </c>
      <c r="C4" s="11"/>
      <c r="D4" s="11"/>
      <c r="E4" s="11"/>
      <c r="F4" s="11"/>
    </row>
    <row r="5" spans="1:6" ht="47.25" customHeight="1" x14ac:dyDescent="0.25">
      <c r="A5" s="9" t="s">
        <v>20</v>
      </c>
      <c r="B5" s="11">
        <v>0</v>
      </c>
      <c r="C5" s="11">
        <v>450</v>
      </c>
      <c r="D5" s="11">
        <v>450</v>
      </c>
      <c r="E5" s="11">
        <v>450</v>
      </c>
      <c r="F5" s="11">
        <v>450</v>
      </c>
    </row>
    <row r="6" spans="1:6" ht="15.75" x14ac:dyDescent="0.25">
      <c r="A6" s="7"/>
      <c r="B6" s="11"/>
      <c r="C6" s="11"/>
      <c r="D6" s="11"/>
      <c r="E6" s="11"/>
      <c r="F6" s="11"/>
    </row>
    <row r="7" spans="1:6" ht="15.75" x14ac:dyDescent="0.25">
      <c r="A7" s="7" t="s">
        <v>21</v>
      </c>
      <c r="B7" s="11"/>
      <c r="C7" s="11"/>
      <c r="D7" s="11"/>
      <c r="E7" s="11"/>
      <c r="F7" s="11"/>
    </row>
    <row r="8" spans="1:6" ht="33.75" customHeight="1" x14ac:dyDescent="0.25">
      <c r="A8" s="9" t="s">
        <v>19</v>
      </c>
      <c r="B8" s="11">
        <v>-20800</v>
      </c>
      <c r="C8" s="11"/>
      <c r="D8" s="11"/>
      <c r="E8" s="11"/>
      <c r="F8" s="11"/>
    </row>
    <row r="9" spans="1:6" ht="33.75" customHeight="1" x14ac:dyDescent="0.25">
      <c r="A9" s="9" t="s">
        <v>20</v>
      </c>
      <c r="B9" s="11">
        <v>-150</v>
      </c>
      <c r="C9" s="11">
        <v>-150</v>
      </c>
      <c r="D9" s="11">
        <v>-150</v>
      </c>
      <c r="E9" s="11">
        <v>-150</v>
      </c>
      <c r="F9" s="11">
        <v>-150</v>
      </c>
    </row>
    <row r="10" spans="1:6" ht="15.75" x14ac:dyDescent="0.25">
      <c r="A10" s="7"/>
      <c r="B10" s="11"/>
      <c r="C10" s="11"/>
      <c r="D10" s="11"/>
      <c r="E10" s="11"/>
      <c r="F10" s="11"/>
    </row>
    <row r="11" spans="1:6" ht="27.75" customHeight="1" x14ac:dyDescent="0.25">
      <c r="A11" s="7" t="s">
        <v>22</v>
      </c>
      <c r="B11" s="11">
        <v>-6250</v>
      </c>
      <c r="C11" s="11"/>
      <c r="D11" s="11"/>
      <c r="E11" s="11"/>
      <c r="F11" s="11"/>
    </row>
    <row r="12" spans="1:6" x14ac:dyDescent="0.25">
      <c r="A12" s="10" t="s">
        <v>6</v>
      </c>
      <c r="B12" s="11">
        <f>SUM(B4:B11)</f>
        <v>-1200</v>
      </c>
      <c r="C12" s="11">
        <f t="shared" ref="C12:F12" si="0">SUM(C4:C11)</f>
        <v>300</v>
      </c>
      <c r="D12" s="11">
        <f t="shared" si="0"/>
        <v>300</v>
      </c>
      <c r="E12" s="11">
        <f t="shared" si="0"/>
        <v>300</v>
      </c>
      <c r="F12" s="11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Missions2&amp;3_Consignes3 à 5</vt:lpstr>
      <vt:lpstr>Missions2&amp;3_3 à 5_corrigé</vt:lpstr>
      <vt:lpstr>Mission3_Consigne6</vt:lpstr>
      <vt:lpstr>Mission3_Consigne_corrigé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SARAIVA-LAFON AURELIE</cp:lastModifiedBy>
  <dcterms:created xsi:type="dcterms:W3CDTF">2018-01-29T09:46:29Z</dcterms:created>
  <dcterms:modified xsi:type="dcterms:W3CDTF">2022-06-14T13:09:16Z</dcterms:modified>
</cp:coreProperties>
</file>