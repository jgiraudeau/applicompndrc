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hachette-my.sharepoint.com/personal/asaraivalafon_editions-foucher_fr/Documents/Desktop/Guides pédago revus par Chloé/CHAP03/"/>
    </mc:Choice>
  </mc:AlternateContent>
  <xr:revisionPtr revIDLastSave="2" documentId="11_8CA30403D8D6BD46F598E0A2158F2CE6FE1B8E60" xr6:coauthVersionLast="47" xr6:coauthVersionMax="47" xr10:uidLastSave="{AEA920FD-99D0-42A3-8615-2E68A1F48941}"/>
  <bookViews>
    <workbookView minimized="1" xWindow="27915" yWindow="2865" windowWidth="18000" windowHeight="12735" firstSheet="3" activeTab="3" xr2:uid="{00000000-000D-0000-FFFF-FFFF00000000}"/>
  </bookViews>
  <sheets>
    <sheet name="Exercice4" sheetId="6" r:id="rId1"/>
    <sheet name="Exercice4-Corrigé" sheetId="7" r:id="rId2"/>
    <sheet name="Exercice 9 - Question 1" sheetId="2" r:id="rId3"/>
    <sheet name="Exercice 8_Consigne2" sheetId="3" r:id="rId4"/>
    <sheet name="Exercice 9_Consigne2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4" l="1"/>
  <c r="B7" i="4"/>
  <c r="F5" i="4"/>
  <c r="F8" i="4" s="1"/>
  <c r="B5" i="4"/>
  <c r="B8" i="4" s="1"/>
  <c r="C4" i="4"/>
  <c r="C7" i="4" s="1"/>
  <c r="F6" i="3"/>
  <c r="B6" i="3"/>
  <c r="B5" i="3"/>
  <c r="F4" i="3"/>
  <c r="B4" i="3"/>
  <c r="C3" i="3"/>
  <c r="D3" i="3" s="1"/>
  <c r="B5" i="2"/>
  <c r="F4" i="2"/>
  <c r="F7" i="2" s="1"/>
  <c r="B4" i="2"/>
  <c r="C3" i="2"/>
  <c r="C4" i="2" s="1"/>
  <c r="C7" i="2" s="1"/>
  <c r="C4" i="3" l="1"/>
  <c r="B7" i="3"/>
  <c r="C5" i="4"/>
  <c r="C8" i="4" s="1"/>
  <c r="F7" i="3"/>
  <c r="D4" i="4"/>
  <c r="C6" i="3"/>
  <c r="C7" i="3" s="1"/>
  <c r="D4" i="3"/>
  <c r="D6" i="3"/>
  <c r="E3" i="3"/>
  <c r="D3" i="2"/>
  <c r="B7" i="2"/>
  <c r="D7" i="4" l="1"/>
  <c r="D5" i="4"/>
  <c r="D8" i="4" s="1"/>
  <c r="E4" i="4"/>
  <c r="E6" i="3"/>
  <c r="E4" i="3"/>
  <c r="D7" i="3"/>
  <c r="D4" i="2"/>
  <c r="D7" i="2" s="1"/>
  <c r="E3" i="2"/>
  <c r="E4" i="2" s="1"/>
  <c r="E7" i="2" s="1"/>
  <c r="E5" i="4" l="1"/>
  <c r="E7" i="4"/>
  <c r="E7" i="3"/>
  <c r="E8" i="4" l="1"/>
</calcChain>
</file>

<file path=xl/sharedStrings.xml><?xml version="1.0" encoding="utf-8"?>
<sst xmlns="http://schemas.openxmlformats.org/spreadsheetml/2006/main" count="94" uniqueCount="54">
  <si>
    <t>N</t>
  </si>
  <si>
    <t>N+1</t>
  </si>
  <si>
    <t>N+2</t>
  </si>
  <si>
    <t>N+3</t>
  </si>
  <si>
    <t>Nombre de clients</t>
  </si>
  <si>
    <t>Taux de rétention</t>
  </si>
  <si>
    <t>Micro-ordinateur</t>
  </si>
  <si>
    <t>Disque externe</t>
  </si>
  <si>
    <t>Imprimante</t>
  </si>
  <si>
    <t>Coût d’achat HT</t>
  </si>
  <si>
    <t>Coût d’achat TTC</t>
  </si>
  <si>
    <t>TVA sur achats</t>
  </si>
  <si>
    <t>Coefficient multiplicateur</t>
  </si>
  <si>
    <t>Prix de vente HT</t>
  </si>
  <si>
    <t>Prix de vente TTC</t>
  </si>
  <si>
    <t>TVA sur ventes</t>
  </si>
  <si>
    <t>Marge commerciale</t>
  </si>
  <si>
    <t>Taux de marge</t>
  </si>
  <si>
    <t>Taux de marque</t>
  </si>
  <si>
    <t>Année</t>
  </si>
  <si>
    <t>N+4</t>
  </si>
  <si>
    <t>Marge</t>
  </si>
  <si>
    <t>Coût d'acquisition</t>
  </si>
  <si>
    <t>Coût de fidélisation</t>
  </si>
  <si>
    <t>Marge nette</t>
  </si>
  <si>
    <t>1 060 €</t>
  </si>
  <si>
    <t>49 €</t>
  </si>
  <si>
    <t>300 €</t>
  </si>
  <si>
    <t>1 272 €</t>
  </si>
  <si>
    <t>59 €</t>
  </si>
  <si>
    <t>360 €</t>
  </si>
  <si>
    <t xml:space="preserve">    212 €</t>
  </si>
  <si>
    <t>10 €</t>
  </si>
  <si>
    <t xml:space="preserve">  60 €</t>
  </si>
  <si>
    <t>1 590 €</t>
  </si>
  <si>
    <t>70 €</t>
  </si>
  <si>
    <t>400 €</t>
  </si>
  <si>
    <t>1 908 €</t>
  </si>
  <si>
    <t>84 €</t>
  </si>
  <si>
    <t>480 €</t>
  </si>
  <si>
    <t xml:space="preserve">    318 €</t>
  </si>
  <si>
    <t>14 €</t>
  </si>
  <si>
    <t xml:space="preserve">  80 €</t>
  </si>
  <si>
    <t xml:space="preserve">    530 €</t>
  </si>
  <si>
    <t>21 €</t>
  </si>
  <si>
    <t>100 €</t>
  </si>
  <si>
    <t>50 %</t>
  </si>
  <si>
    <t>43 %</t>
  </si>
  <si>
    <t>33 %</t>
  </si>
  <si>
    <t>30 %</t>
  </si>
  <si>
    <t>25 %</t>
  </si>
  <si>
    <t xml:space="preserve">  </t>
  </si>
  <si>
    <t xml:space="preserve"> 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</si>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</sst>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sz val="8"/>
      <color rgb="FF000000"/>
      <name val="GuidePedagoNCond-Bold"/>
    </font>
    <font>
      <b/>
      <sz val="8"/>
      <color rgb="FF000000"/>
      <name val="GuidePedagoNCond-Bold"/>
    </font>
    <font>
      <sz val="8"/>
      <color rgb="FFFF0000"/>
      <name val="GuidePedagoNCond-Bold"/>
    </font>
    <font>
      <sz val="1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1" xfId="0" applyFont="1" applyBorder="1"/>
    <xf numFmtId="0" fontId="4" fillId="0" borderId="2" xfId="0" applyFont="1" applyBorder="1" applyAlignment="1">
      <alignment horizontal="justify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justify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1" xfId="0" applyFont="1" applyBorder="1"/>
    <xf numFmtId="0" fontId="0" fillId="0" borderId="0" xfId="0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C25" sqref="C25"/>
    </sheetView>
  </sheetViews>
  <sheetFormatPr baseColWidth="10" defaultRowHeight="15"/>
  <cols>
    <col min="1" max="1" width="22.7109375" customWidth="1"/>
    <col min="2" max="2" width="23" customWidth="1"/>
    <col min="3" max="3" width="22.85546875" customWidth="1"/>
    <col min="4" max="4" width="22.7109375" customWidth="1"/>
  </cols>
  <sheetData>
    <row r="1" spans="1:4" ht="15.75" thickBot="1"/>
    <row r="2" spans="1:4" ht="15.75" thickBot="1">
      <c r="A2" s="5"/>
      <c r="B2" s="6" t="s">
        <v>6</v>
      </c>
      <c r="C2" s="6" t="s">
        <v>7</v>
      </c>
      <c r="D2" s="6" t="s">
        <v>8</v>
      </c>
    </row>
    <row r="3" spans="1:4" ht="15.75" thickBot="1">
      <c r="A3" s="7" t="s">
        <v>9</v>
      </c>
      <c r="B3" s="8" t="s">
        <v>25</v>
      </c>
      <c r="C3" s="9"/>
      <c r="D3" s="9"/>
    </row>
    <row r="4" spans="1:4" ht="15.75" thickBot="1">
      <c r="A4" s="7" t="s">
        <v>10</v>
      </c>
      <c r="B4" s="9"/>
      <c r="C4" s="9"/>
      <c r="D4" s="9"/>
    </row>
    <row r="5" spans="1:4" ht="15.75" thickBot="1">
      <c r="A5" s="7" t="s">
        <v>11</v>
      </c>
      <c r="B5" s="9" t="s">
        <v>51</v>
      </c>
      <c r="C5" s="9"/>
      <c r="D5" s="9"/>
    </row>
    <row r="6" spans="1:4" ht="15.75" thickBot="1">
      <c r="A6" s="7" t="s">
        <v>12</v>
      </c>
      <c r="B6" s="8">
        <v>1.8</v>
      </c>
      <c r="C6" s="8"/>
      <c r="D6" s="8">
        <v>1.6</v>
      </c>
    </row>
    <row r="7" spans="1:4" ht="15.75" thickBot="1">
      <c r="A7" s="7" t="s">
        <v>13</v>
      </c>
      <c r="B7" s="9"/>
      <c r="C7" s="9"/>
      <c r="D7" s="9"/>
    </row>
    <row r="8" spans="1:4" ht="15.75" thickBot="1">
      <c r="A8" s="7" t="s">
        <v>14</v>
      </c>
      <c r="B8" s="9"/>
      <c r="C8" s="8" t="s">
        <v>38</v>
      </c>
      <c r="D8" s="9"/>
    </row>
    <row r="9" spans="1:4" ht="15.75" thickBot="1">
      <c r="A9" s="7" t="s">
        <v>15</v>
      </c>
      <c r="B9" s="9" t="s">
        <v>52</v>
      </c>
      <c r="C9" s="9"/>
      <c r="D9" s="8" t="s">
        <v>42</v>
      </c>
    </row>
    <row r="10" spans="1:4" ht="15.75" thickBot="1">
      <c r="A10" s="7" t="s">
        <v>16</v>
      </c>
      <c r="B10" s="9" t="s">
        <v>53</v>
      </c>
      <c r="C10" s="9"/>
      <c r="D10" s="9"/>
    </row>
    <row r="11" spans="1:4" ht="15.75" thickBot="1">
      <c r="A11" s="7" t="s">
        <v>17</v>
      </c>
      <c r="B11" s="9"/>
      <c r="C11" s="9"/>
      <c r="D11" s="9"/>
    </row>
    <row r="12" spans="1:4" ht="15.75" thickBot="1">
      <c r="A12" s="7" t="s">
        <v>18</v>
      </c>
      <c r="B12" s="9"/>
      <c r="C12" s="8" t="s">
        <v>49</v>
      </c>
      <c r="D12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C20" sqref="C20"/>
    </sheetView>
  </sheetViews>
  <sheetFormatPr baseColWidth="10" defaultRowHeight="15"/>
  <cols>
    <col min="1" max="1" width="23.140625" customWidth="1"/>
    <col min="2" max="2" width="22.85546875" customWidth="1"/>
    <col min="3" max="4" width="22.5703125" customWidth="1"/>
  </cols>
  <sheetData>
    <row r="1" spans="1:4" ht="15.75" thickBot="1"/>
    <row r="2" spans="1:4" ht="15.75" thickBot="1">
      <c r="A2" s="5"/>
      <c r="B2" s="6" t="s">
        <v>6</v>
      </c>
      <c r="C2" s="6" t="s">
        <v>7</v>
      </c>
      <c r="D2" s="6" t="s">
        <v>8</v>
      </c>
    </row>
    <row r="3" spans="1:4" ht="15.75" thickBot="1">
      <c r="A3" s="7" t="s">
        <v>9</v>
      </c>
      <c r="B3" s="8" t="s">
        <v>25</v>
      </c>
      <c r="C3" s="9" t="s">
        <v>26</v>
      </c>
      <c r="D3" s="9" t="s">
        <v>27</v>
      </c>
    </row>
    <row r="4" spans="1:4" ht="15.75" thickBot="1">
      <c r="A4" s="7" t="s">
        <v>10</v>
      </c>
      <c r="B4" s="9" t="s">
        <v>28</v>
      </c>
      <c r="C4" s="9" t="s">
        <v>29</v>
      </c>
      <c r="D4" s="9" t="s">
        <v>30</v>
      </c>
    </row>
    <row r="5" spans="1:4" ht="15.75" thickBot="1">
      <c r="A5" s="7" t="s">
        <v>11</v>
      </c>
      <c r="B5" s="9" t="s">
        <v>31</v>
      </c>
      <c r="C5" s="9" t="s">
        <v>32</v>
      </c>
      <c r="D5" s="9" t="s">
        <v>33</v>
      </c>
    </row>
    <row r="6" spans="1:4" ht="15.75" thickBot="1">
      <c r="A6" s="7" t="s">
        <v>12</v>
      </c>
      <c r="B6" s="8">
        <v>1.8</v>
      </c>
      <c r="C6" s="8">
        <v>1.71</v>
      </c>
      <c r="D6" s="8">
        <v>1.6</v>
      </c>
    </row>
    <row r="7" spans="1:4" ht="15.75" thickBot="1">
      <c r="A7" s="7" t="s">
        <v>13</v>
      </c>
      <c r="B7" s="9" t="s">
        <v>34</v>
      </c>
      <c r="C7" s="9" t="s">
        <v>35</v>
      </c>
      <c r="D7" s="9" t="s">
        <v>36</v>
      </c>
    </row>
    <row r="8" spans="1:4" ht="15.75" thickBot="1">
      <c r="A8" s="7" t="s">
        <v>14</v>
      </c>
      <c r="B8" s="9" t="s">
        <v>37</v>
      </c>
      <c r="C8" s="8" t="s">
        <v>38</v>
      </c>
      <c r="D8" s="9" t="s">
        <v>39</v>
      </c>
    </row>
    <row r="9" spans="1:4" ht="15.75" thickBot="1">
      <c r="A9" s="7" t="s">
        <v>15</v>
      </c>
      <c r="B9" s="9" t="s">
        <v>40</v>
      </c>
      <c r="C9" s="9" t="s">
        <v>41</v>
      </c>
      <c r="D9" s="8" t="s">
        <v>42</v>
      </c>
    </row>
    <row r="10" spans="1:4" ht="15.75" thickBot="1">
      <c r="A10" s="7" t="s">
        <v>16</v>
      </c>
      <c r="B10" s="9" t="s">
        <v>43</v>
      </c>
      <c r="C10" s="9" t="s">
        <v>44</v>
      </c>
      <c r="D10" s="9" t="s">
        <v>45</v>
      </c>
    </row>
    <row r="11" spans="1:4" ht="15.75" thickBot="1">
      <c r="A11" s="7" t="s">
        <v>17</v>
      </c>
      <c r="B11" s="9" t="s">
        <v>46</v>
      </c>
      <c r="C11" s="9" t="s">
        <v>47</v>
      </c>
      <c r="D11" s="9" t="s">
        <v>48</v>
      </c>
    </row>
    <row r="12" spans="1:4" ht="15.75" thickBot="1">
      <c r="A12" s="7" t="s">
        <v>18</v>
      </c>
      <c r="B12" s="9" t="s">
        <v>48</v>
      </c>
      <c r="C12" s="8" t="s">
        <v>49</v>
      </c>
      <c r="D12" s="9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B4" sqref="B4"/>
    </sheetView>
  </sheetViews>
  <sheetFormatPr baseColWidth="10" defaultRowHeight="15"/>
  <cols>
    <col min="1" max="1" width="34.140625" customWidth="1"/>
  </cols>
  <sheetData>
    <row r="1" spans="1:6" ht="15.75" thickBot="1"/>
    <row r="2" spans="1:6" ht="16.5" thickBot="1">
      <c r="A2" s="1" t="s">
        <v>19</v>
      </c>
      <c r="B2" s="2" t="s">
        <v>0</v>
      </c>
      <c r="C2" s="3" t="s">
        <v>1</v>
      </c>
      <c r="D2" s="3" t="s">
        <v>2</v>
      </c>
      <c r="E2" s="3" t="s">
        <v>3</v>
      </c>
      <c r="F2" s="3" t="s">
        <v>20</v>
      </c>
    </row>
    <row r="3" spans="1:6" ht="15.75">
      <c r="A3" s="1" t="s">
        <v>4</v>
      </c>
      <c r="B3" s="4">
        <v>1000</v>
      </c>
      <c r="C3" s="4">
        <f>B3*0.7</f>
        <v>700</v>
      </c>
      <c r="D3" s="4">
        <f t="shared" ref="D3:E3" si="0">C3*0.7</f>
        <v>489.99999999999994</v>
      </c>
      <c r="E3" s="4">
        <f t="shared" si="0"/>
        <v>342.99999999999994</v>
      </c>
      <c r="F3" s="4">
        <v>240</v>
      </c>
    </row>
    <row r="4" spans="1:6" ht="15.75">
      <c r="A4" s="1" t="s">
        <v>21</v>
      </c>
      <c r="B4" s="4">
        <f>180*B3</f>
        <v>180000</v>
      </c>
      <c r="C4" s="4">
        <f t="shared" ref="C4:F4" si="1">180*C3</f>
        <v>126000</v>
      </c>
      <c r="D4" s="4">
        <f t="shared" si="1"/>
        <v>88199.999999999985</v>
      </c>
      <c r="E4" s="4">
        <f t="shared" si="1"/>
        <v>61739.999999999993</v>
      </c>
      <c r="F4" s="4">
        <f t="shared" si="1"/>
        <v>43200</v>
      </c>
    </row>
    <row r="5" spans="1:6" ht="15.75">
      <c r="A5" s="1" t="s">
        <v>22</v>
      </c>
      <c r="B5" s="4">
        <f>300*B3</f>
        <v>300000</v>
      </c>
      <c r="C5" s="4"/>
      <c r="D5" s="4"/>
      <c r="E5" s="4"/>
      <c r="F5" s="4"/>
    </row>
    <row r="6" spans="1:6" ht="15.75">
      <c r="A6" s="1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</row>
    <row r="7" spans="1:6" ht="15.75">
      <c r="A7" s="1" t="s">
        <v>24</v>
      </c>
      <c r="B7" s="4">
        <f>B4-B5-B6</f>
        <v>-120000</v>
      </c>
      <c r="C7" s="4">
        <f t="shared" ref="C7:F7" si="2">C4-C5-C6</f>
        <v>126000</v>
      </c>
      <c r="D7" s="4">
        <f t="shared" si="2"/>
        <v>88199.999999999985</v>
      </c>
      <c r="E7" s="4">
        <f t="shared" si="2"/>
        <v>61739.999999999993</v>
      </c>
      <c r="F7" s="4">
        <f t="shared" si="2"/>
        <v>43200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tabSelected="1" workbookViewId="0">
      <selection activeCell="B4" sqref="B4"/>
    </sheetView>
  </sheetViews>
  <sheetFormatPr baseColWidth="10" defaultRowHeight="15"/>
  <cols>
    <col min="1" max="1" width="34.42578125" customWidth="1"/>
  </cols>
  <sheetData>
    <row r="1" spans="1:6" ht="15.75" thickBot="1"/>
    <row r="2" spans="1:6" ht="16.5" thickBot="1">
      <c r="A2" s="1" t="s">
        <v>19</v>
      </c>
      <c r="B2" s="2" t="s">
        <v>0</v>
      </c>
      <c r="C2" s="3" t="s">
        <v>1</v>
      </c>
      <c r="D2" s="3" t="s">
        <v>2</v>
      </c>
      <c r="E2" s="3" t="s">
        <v>3</v>
      </c>
      <c r="F2" s="3" t="s">
        <v>20</v>
      </c>
    </row>
    <row r="3" spans="1:6" ht="15.75">
      <c r="A3" s="1" t="s">
        <v>4</v>
      </c>
      <c r="B3" s="4">
        <v>1000</v>
      </c>
      <c r="C3" s="4">
        <f>B3*0.8</f>
        <v>800</v>
      </c>
      <c r="D3" s="4">
        <f t="shared" ref="D3:E3" si="0">C3*0.8</f>
        <v>640</v>
      </c>
      <c r="E3" s="4">
        <f t="shared" si="0"/>
        <v>512</v>
      </c>
      <c r="F3" s="4">
        <v>410</v>
      </c>
    </row>
    <row r="4" spans="1:6" ht="15.75">
      <c r="A4" s="1" t="s">
        <v>21</v>
      </c>
      <c r="B4" s="4">
        <f>180*B3</f>
        <v>180000</v>
      </c>
      <c r="C4" s="4">
        <f t="shared" ref="C4:F4" si="1">180*C3</f>
        <v>144000</v>
      </c>
      <c r="D4" s="4">
        <f t="shared" si="1"/>
        <v>115200</v>
      </c>
      <c r="E4" s="4">
        <f t="shared" si="1"/>
        <v>92160</v>
      </c>
      <c r="F4" s="4">
        <f t="shared" si="1"/>
        <v>73800</v>
      </c>
    </row>
    <row r="5" spans="1:6" ht="15.75">
      <c r="A5" s="1" t="s">
        <v>22</v>
      </c>
      <c r="B5" s="4">
        <f>300*B3</f>
        <v>300000</v>
      </c>
      <c r="C5" s="4"/>
      <c r="D5" s="4"/>
      <c r="E5" s="4"/>
      <c r="F5" s="4"/>
    </row>
    <row r="6" spans="1:6" ht="15.75">
      <c r="A6" s="1" t="s">
        <v>23</v>
      </c>
      <c r="B6" s="4">
        <f>20*B3</f>
        <v>20000</v>
      </c>
      <c r="C6" s="4">
        <f t="shared" ref="C6:F6" si="2">20*C3</f>
        <v>16000</v>
      </c>
      <c r="D6" s="4">
        <f t="shared" si="2"/>
        <v>12800</v>
      </c>
      <c r="E6" s="4">
        <f t="shared" si="2"/>
        <v>10240</v>
      </c>
      <c r="F6" s="4">
        <f t="shared" si="2"/>
        <v>8200</v>
      </c>
    </row>
    <row r="7" spans="1:6" ht="15.75">
      <c r="A7" s="1" t="s">
        <v>24</v>
      </c>
      <c r="B7" s="4">
        <f>B4-B5-B6</f>
        <v>-140000</v>
      </c>
      <c r="C7" s="4">
        <f t="shared" ref="C7:F7" si="3">C4-C5-C6</f>
        <v>128000</v>
      </c>
      <c r="D7" s="4">
        <f t="shared" si="3"/>
        <v>102400</v>
      </c>
      <c r="E7" s="4">
        <f t="shared" si="3"/>
        <v>81920</v>
      </c>
      <c r="F7" s="4">
        <f t="shared" si="3"/>
        <v>65600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8"/>
  <sheetViews>
    <sheetView workbookViewId="0">
      <selection activeCell="B28" sqref="B28"/>
    </sheetView>
  </sheetViews>
  <sheetFormatPr baseColWidth="10" defaultRowHeight="15"/>
  <cols>
    <col min="1" max="1" width="34.42578125" customWidth="1"/>
  </cols>
  <sheetData>
    <row r="2" spans="1:6" ht="15.75" thickBot="1">
      <c r="A2" t="s">
        <v>5</v>
      </c>
      <c r="C2" s="11">
        <v>0.7</v>
      </c>
      <c r="D2" s="11">
        <v>0.8</v>
      </c>
      <c r="E2" s="11">
        <v>0.9</v>
      </c>
      <c r="F2" s="11">
        <v>0.9</v>
      </c>
    </row>
    <row r="3" spans="1:6" s="14" customFormat="1" ht="16.5" thickBot="1">
      <c r="A3" s="1" t="s">
        <v>19</v>
      </c>
      <c r="B3" s="12" t="s">
        <v>0</v>
      </c>
      <c r="C3" s="13" t="s">
        <v>1</v>
      </c>
      <c r="D3" s="13" t="s">
        <v>2</v>
      </c>
      <c r="E3" s="13" t="s">
        <v>3</v>
      </c>
      <c r="F3" s="13" t="s">
        <v>20</v>
      </c>
    </row>
    <row r="4" spans="1:6" ht="15.75">
      <c r="A4" s="1" t="s">
        <v>4</v>
      </c>
      <c r="B4" s="10">
        <v>1000</v>
      </c>
      <c r="C4" s="10">
        <f>B4*C2</f>
        <v>700</v>
      </c>
      <c r="D4" s="10">
        <f t="shared" ref="D4:E4" si="0">C4*D2</f>
        <v>560</v>
      </c>
      <c r="E4" s="10">
        <f t="shared" si="0"/>
        <v>504</v>
      </c>
      <c r="F4" s="10">
        <v>454</v>
      </c>
    </row>
    <row r="5" spans="1:6" ht="15.75">
      <c r="A5" s="1" t="s">
        <v>21</v>
      </c>
      <c r="B5" s="10">
        <f>120*B4</f>
        <v>120000</v>
      </c>
      <c r="C5" s="10">
        <f t="shared" ref="C5:F5" si="1">120*C4</f>
        <v>84000</v>
      </c>
      <c r="D5" s="10">
        <f t="shared" si="1"/>
        <v>67200</v>
      </c>
      <c r="E5" s="10">
        <f t="shared" si="1"/>
        <v>60480</v>
      </c>
      <c r="F5" s="10">
        <f t="shared" si="1"/>
        <v>54480</v>
      </c>
    </row>
    <row r="6" spans="1:6" ht="15.75">
      <c r="A6" s="1" t="s">
        <v>22</v>
      </c>
      <c r="B6" s="10">
        <v>50000</v>
      </c>
      <c r="C6" s="10"/>
      <c r="D6" s="10"/>
      <c r="E6" s="10"/>
      <c r="F6" s="10"/>
    </row>
    <row r="7" spans="1:6" ht="15.75">
      <c r="A7" s="1" t="s">
        <v>23</v>
      </c>
      <c r="B7" s="10">
        <f>20*B4</f>
        <v>20000</v>
      </c>
      <c r="C7" s="10">
        <f t="shared" ref="C7:F7" si="2">20*C4</f>
        <v>14000</v>
      </c>
      <c r="D7" s="10">
        <f t="shared" si="2"/>
        <v>11200</v>
      </c>
      <c r="E7" s="10">
        <f t="shared" si="2"/>
        <v>10080</v>
      </c>
      <c r="F7" s="10">
        <f t="shared" si="2"/>
        <v>9080</v>
      </c>
    </row>
    <row r="8" spans="1:6" ht="15.75">
      <c r="A8" s="1" t="s">
        <v>24</v>
      </c>
      <c r="B8" s="10">
        <f>B5-B6-B7</f>
        <v>50000</v>
      </c>
      <c r="C8" s="10">
        <f t="shared" ref="C8:F8" si="3">C5-C6-C7</f>
        <v>70000</v>
      </c>
      <c r="D8" s="10">
        <f t="shared" si="3"/>
        <v>56000</v>
      </c>
      <c r="E8" s="10">
        <f t="shared" si="3"/>
        <v>50400</v>
      </c>
      <c r="F8" s="10">
        <f t="shared" si="3"/>
        <v>45400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Exercice4</vt:lpstr>
      <vt:lpstr>Exercice4-Corrigé</vt:lpstr>
      <vt:lpstr>Exercice 9 - Question 1</vt:lpstr>
      <vt:lpstr>Exercice 8_Consigne2</vt:lpstr>
      <vt:lpstr>Exercice 9_Consigne2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SARAIVA-LAFON AURELIE</cp:lastModifiedBy>
  <dcterms:created xsi:type="dcterms:W3CDTF">2018-04-27T15:06:42Z</dcterms:created>
  <dcterms:modified xsi:type="dcterms:W3CDTF">2022-06-13T14:50:40Z</dcterms:modified>
</cp:coreProperties>
</file>