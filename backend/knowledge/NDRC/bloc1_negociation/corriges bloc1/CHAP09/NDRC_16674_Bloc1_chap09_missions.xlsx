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9/"/>
    </mc:Choice>
  </mc:AlternateContent>
  <xr:revisionPtr revIDLastSave="4" documentId="11_6682A39BAD99C7E87CD8BE1F87BA6BEB0FE8993F" xr6:coauthVersionLast="47" xr6:coauthVersionMax="47" xr10:uidLastSave="{D0960D9F-4D89-4686-8A60-4F94F2751CC4}"/>
  <bookViews>
    <workbookView xWindow="28680" yWindow="750" windowWidth="25440" windowHeight="15390" xr2:uid="{00000000-000D-0000-FFFF-FFFF00000000}"/>
  </bookViews>
  <sheets>
    <sheet name="Mission 1" sheetId="3" r:id="rId1"/>
    <sheet name="Mission 2" sheetId="4" r:id="rId2"/>
    <sheet name="Mission 3" sheetId="1" r:id="rId3"/>
  </sheets>
  <externalReferences>
    <externalReference r:id="rId4"/>
  </externalReferences>
  <definedNames>
    <definedName name="abandon">'[1]ressources site ecommerce'!$B$11</definedName>
    <definedName name="appels_argumentés">'[1]Exo 4corrigé'!$D$12</definedName>
    <definedName name="Appels_heure">'[1]Exo 4corrigé'!$D$11</definedName>
    <definedName name="contacts_heure">'[1]Exo 4corrigé'!$D$10</definedName>
    <definedName name="devis">#REF!</definedName>
    <definedName name="nb_arrêt_1_page">'[1]ressources site ecommerce'!$B$3</definedName>
    <definedName name="nb_commandes">'[1]ressources site ecommerce'!$B$5</definedName>
    <definedName name="nb_de_commandes_dans_le_mois">'[1]ressources site ecommerce'!$B$6</definedName>
    <definedName name="nb_Entreprises">'[1]Exo 4corrigé'!$D$7</definedName>
    <definedName name="nb_heures_jour">'[1]Exo 4corrigé'!$D$6</definedName>
    <definedName name="nb_jours_prospection">'[1]Exo 4corrigé'!$D$5</definedName>
    <definedName name="nb_mise_en_panier">'[1]ressources site ecommerce'!$B$4</definedName>
    <definedName name="nb_visites">'[1]ressources site ecommerce'!$B$2</definedName>
    <definedName name="nb_visites_mois">'[1]ressources site ecommerce'!$B$7</definedName>
    <definedName name="qualification_fichier">#REF!</definedName>
    <definedName name="solver_adj" localSheetId="2" hidden="1">'Mission 3'!$G$4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'Mission 3'!$D$9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'Mission 3'!$I$4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0.3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0.0125</definedName>
    <definedName name="solver_ver" localSheetId="2" hidden="1">3</definedName>
    <definedName name="taux_transformation_100_argumentés">'[1]Exo 4corrigé'!$D$13</definedName>
    <definedName name="visite_des_pages">'[1]ressources site ecommerce'!$B$9</definedName>
    <definedName name="viste_sans_achat">'[1]ressources site ecommerce'!$B$10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4" l="1"/>
  <c r="I35" i="4"/>
  <c r="I36" i="4"/>
  <c r="I37" i="4"/>
  <c r="I38" i="4"/>
  <c r="D35" i="4"/>
  <c r="D36" i="4"/>
  <c r="D37" i="4"/>
  <c r="D38" i="4"/>
  <c r="C35" i="4"/>
  <c r="C36" i="4"/>
  <c r="C37" i="4"/>
  <c r="C38" i="4"/>
  <c r="C34" i="4"/>
  <c r="B35" i="4"/>
  <c r="B36" i="4"/>
  <c r="B37" i="4"/>
  <c r="B34" i="4"/>
  <c r="B38" i="4" s="1"/>
  <c r="H38" i="4"/>
  <c r="G38" i="4"/>
  <c r="F38" i="4"/>
  <c r="E38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D34" i="4"/>
  <c r="I26" i="4"/>
  <c r="I27" i="4"/>
  <c r="I28" i="4"/>
  <c r="I29" i="4"/>
  <c r="I25" i="4"/>
  <c r="H26" i="4"/>
  <c r="H27" i="4"/>
  <c r="H28" i="4"/>
  <c r="H29" i="4"/>
  <c r="H25" i="4"/>
  <c r="G29" i="4"/>
  <c r="G26" i="4"/>
  <c r="G27" i="4"/>
  <c r="G28" i="4"/>
  <c r="G25" i="4"/>
  <c r="F26" i="4"/>
  <c r="F27" i="4"/>
  <c r="F28" i="4"/>
  <c r="F29" i="4"/>
  <c r="F25" i="4"/>
  <c r="E26" i="4"/>
  <c r="E27" i="4"/>
  <c r="E28" i="4"/>
  <c r="E29" i="4"/>
  <c r="E25" i="4"/>
  <c r="D29" i="4"/>
  <c r="D26" i="4"/>
  <c r="D27" i="4"/>
  <c r="D28" i="4"/>
  <c r="D25" i="4"/>
  <c r="C29" i="4"/>
  <c r="C26" i="4"/>
  <c r="C27" i="4"/>
  <c r="C28" i="4"/>
  <c r="C25" i="4"/>
  <c r="B26" i="4"/>
  <c r="B27" i="4"/>
  <c r="B28" i="4"/>
  <c r="B25" i="4"/>
  <c r="B29" i="4" s="1"/>
  <c r="G11" i="3" l="1"/>
  <c r="F11" i="3"/>
  <c r="E11" i="3"/>
  <c r="D11" i="3"/>
  <c r="C11" i="3"/>
  <c r="B11" i="3"/>
  <c r="G10" i="3"/>
  <c r="F10" i="3"/>
  <c r="E10" i="3"/>
  <c r="D10" i="3"/>
  <c r="C10" i="3"/>
  <c r="B10" i="3"/>
  <c r="F5" i="3"/>
  <c r="E5" i="3"/>
  <c r="D5" i="3"/>
  <c r="C5" i="3"/>
  <c r="B5" i="3"/>
  <c r="K16" i="1" l="1"/>
  <c r="J5" i="1"/>
  <c r="J4" i="1"/>
  <c r="K15" i="1"/>
  <c r="I4" i="1"/>
  <c r="E4" i="1"/>
  <c r="E5" i="1"/>
  <c r="H6" i="1"/>
  <c r="D10" i="1" s="1"/>
  <c r="C12" i="1" l="1"/>
  <c r="G6" i="1"/>
  <c r="I5" i="1"/>
  <c r="F6" i="1"/>
  <c r="D9" i="1" s="1"/>
  <c r="E6" i="1"/>
  <c r="D8" i="1" l="1"/>
  <c r="J6" i="1"/>
  <c r="K14" i="1"/>
  <c r="C13" i="1"/>
  <c r="I6" i="1"/>
</calcChain>
</file>

<file path=xl/sharedStrings.xml><?xml version="1.0" encoding="utf-8"?>
<sst xmlns="http://schemas.openxmlformats.org/spreadsheetml/2006/main" count="111" uniqueCount="68">
  <si>
    <t>Nom de l'ensemble de publicité</t>
  </si>
  <si>
    <t>Facebook</t>
  </si>
  <si>
    <t>Fil d'actualité</t>
  </si>
  <si>
    <t>ordinateurs</t>
  </si>
  <si>
    <t>mobiles</t>
  </si>
  <si>
    <t>Impressions</t>
  </si>
  <si>
    <t>Portée</t>
  </si>
  <si>
    <t>CPC</t>
  </si>
  <si>
    <t>CPM</t>
  </si>
  <si>
    <t>Budget</t>
  </si>
  <si>
    <t>Total</t>
  </si>
  <si>
    <t>CTR</t>
  </si>
  <si>
    <t>Clics sur lien publicité</t>
  </si>
  <si>
    <t>Tableau de bord Google Analytics</t>
  </si>
  <si>
    <t>Nouveaux utilisateurs</t>
  </si>
  <si>
    <t>Taux de rebond</t>
  </si>
  <si>
    <t>Rebond</t>
  </si>
  <si>
    <t>Ventes</t>
  </si>
  <si>
    <t>taux de conversion</t>
  </si>
  <si>
    <t>CA</t>
  </si>
  <si>
    <t>CPL</t>
  </si>
  <si>
    <t>CA du mois sur le site internet</t>
  </si>
  <si>
    <t>Part des ventes dans le CA</t>
  </si>
  <si>
    <t>Résultat (clic sur le lien vers le site)</t>
  </si>
  <si>
    <t>ROI</t>
  </si>
  <si>
    <t>Taux de conversion</t>
  </si>
  <si>
    <t>e-mails envoyés</t>
  </si>
  <si>
    <t>e-mails aboutis</t>
  </si>
  <si>
    <t>nb de désabonne-ments</t>
  </si>
  <si>
    <t>Nb clics sur le lien</t>
  </si>
  <si>
    <t>sorties après 1 page visitée</t>
  </si>
  <si>
    <t>nb de commandes initialisées (mise en panier)</t>
  </si>
  <si>
    <t>nb de commandes finalisées</t>
  </si>
  <si>
    <t>clients</t>
  </si>
  <si>
    <t>collectivités</t>
  </si>
  <si>
    <t>Taux de délivrabilité</t>
  </si>
  <si>
    <t>Taux ouverture</t>
  </si>
  <si>
    <t>Taux de click</t>
  </si>
  <si>
    <t>Taux de désabonnement</t>
  </si>
  <si>
    <t>Taux de réactivité</t>
  </si>
  <si>
    <t>Clients</t>
  </si>
  <si>
    <t>Collectivités</t>
  </si>
  <si>
    <t>Prénom</t>
  </si>
  <si>
    <t>Durée d'appel</t>
  </si>
  <si>
    <t>Taux de contact</t>
  </si>
  <si>
    <t>Nombre d'appels par heure</t>
  </si>
  <si>
    <t>Nombre d'entretiens par heure</t>
  </si>
  <si>
    <t>Taux d'entretien</t>
  </si>
  <si>
    <t>Capacité à conclure</t>
  </si>
  <si>
    <t>% des ventes</t>
  </si>
  <si>
    <t>Hugo</t>
  </si>
  <si>
    <t>Kathia</t>
  </si>
  <si>
    <t>Karim</t>
  </si>
  <si>
    <t>Solène</t>
  </si>
  <si>
    <t>aboutis</t>
  </si>
  <si>
    <t>Phase 1 : Appel des clients ayant mis au moins un produit de la gamme « toner pour imprimante » en panier, suite à la campagne d’e-mailing, sans finaliser la commande.</t>
  </si>
  <si>
    <t>Prospects chauds</t>
  </si>
  <si>
    <t>Appels</t>
  </si>
  <si>
    <t>Entretiens</t>
  </si>
  <si>
    <t>Durée moyenne d'un appel</t>
  </si>
  <si>
    <t>min</t>
  </si>
  <si>
    <t>Phase 2 Appel des prospects issus du fichier loué par Canut Aménagement</t>
  </si>
  <si>
    <t>Prospects fichier loué</t>
  </si>
  <si>
    <t>Durée de la phase 1 en heures</t>
  </si>
  <si>
    <t>Phase 1</t>
  </si>
  <si>
    <t>Phase 2</t>
  </si>
  <si>
    <t>e-mails ouverts</t>
  </si>
  <si>
    <t>Taux moyens constatés hors BtoC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</si>
</sst>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0.000%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right" indent="2"/>
    </xf>
    <xf numFmtId="0" fontId="0" fillId="0" borderId="3" xfId="0" applyBorder="1" applyAlignment="1">
      <alignment horizontal="right" indent="2"/>
    </xf>
    <xf numFmtId="0" fontId="0" fillId="0" borderId="8" xfId="0" applyBorder="1" applyAlignment="1">
      <alignment horizontal="right" indent="2"/>
    </xf>
    <xf numFmtId="0" fontId="0" fillId="0" borderId="9" xfId="0" applyBorder="1" applyAlignment="1">
      <alignment horizontal="right" indent="2"/>
    </xf>
    <xf numFmtId="0" fontId="0" fillId="0" borderId="10" xfId="0" applyBorder="1" applyAlignment="1">
      <alignment horizontal="right" indent="2"/>
    </xf>
    <xf numFmtId="0" fontId="0" fillId="0" borderId="11" xfId="0" applyBorder="1" applyAlignment="1">
      <alignment horizontal="right" indent="2"/>
    </xf>
    <xf numFmtId="0" fontId="0" fillId="0" borderId="0" xfId="0" applyFill="1" applyBorder="1" applyAlignment="1">
      <alignment horizontal="center"/>
    </xf>
    <xf numFmtId="9" fontId="0" fillId="0" borderId="0" xfId="2" applyFont="1"/>
    <xf numFmtId="0" fontId="2" fillId="0" borderId="0" xfId="0" applyFont="1"/>
    <xf numFmtId="0" fontId="2" fillId="0" borderId="0" xfId="0" applyFont="1" applyFill="1" applyBorder="1" applyAlignment="1">
      <alignment horizontal="center" vertical="center"/>
    </xf>
    <xf numFmtId="10" fontId="2" fillId="0" borderId="0" xfId="2" applyNumberFormat="1" applyFont="1" applyAlignment="1">
      <alignment horizontal="right" vertical="center" indent="1"/>
    </xf>
    <xf numFmtId="44" fontId="2" fillId="0" borderId="0" xfId="1" applyFont="1"/>
    <xf numFmtId="0" fontId="0" fillId="0" borderId="6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3" fillId="0" borderId="0" xfId="0" applyFont="1"/>
    <xf numFmtId="0" fontId="0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  <xf numFmtId="9" fontId="2" fillId="0" borderId="0" xfId="2" applyFont="1" applyAlignment="1">
      <alignment horizontal="center"/>
    </xf>
    <xf numFmtId="6" fontId="0" fillId="0" borderId="0" xfId="0" applyNumberFormat="1"/>
    <xf numFmtId="9" fontId="2" fillId="0" borderId="3" xfId="2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 wrapText="1"/>
    </xf>
    <xf numFmtId="9" fontId="0" fillId="0" borderId="3" xfId="2" applyFont="1" applyBorder="1" applyAlignment="1">
      <alignment horizontal="center" vertical="center"/>
    </xf>
    <xf numFmtId="165" fontId="0" fillId="0" borderId="3" xfId="2" applyNumberFormat="1" applyFont="1" applyBorder="1" applyAlignment="1">
      <alignment horizontal="center" vertical="center"/>
    </xf>
    <xf numFmtId="10" fontId="2" fillId="0" borderId="0" xfId="2" applyNumberFormat="1" applyFont="1"/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0" fontId="2" fillId="0" borderId="3" xfId="2" applyNumberFormat="1" applyFont="1" applyBorder="1" applyAlignment="1">
      <alignment horizontal="center" vertical="center"/>
    </xf>
    <xf numFmtId="10" fontId="2" fillId="0" borderId="3" xfId="2" applyNumberFormat="1" applyFont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5" xfId="0" applyFont="1" applyBorder="1" applyAlignment="1">
      <alignment horizontal="right" vertical="center" indent="3"/>
    </xf>
    <xf numFmtId="9" fontId="5" fillId="0" borderId="15" xfId="2" applyFont="1" applyBorder="1" applyAlignment="1">
      <alignment vertical="center"/>
    </xf>
    <xf numFmtId="10" fontId="5" fillId="0" borderId="15" xfId="2" applyNumberFormat="1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784860</xdr:colOff>
      <xdr:row>18</xdr:row>
      <xdr:rowOff>45720</xdr:rowOff>
    </xdr:from>
    <xdr:to>
      <xdr:col>10</xdr:col>
      <xdr:colOff>160020</xdr:colOff>
      <xdr:row>28</xdr:row>
      <xdr:rowOff>38100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0E6E143-225B-401F-A2E6-E1F01814EFD1}"/>
            </a:ext>
          </a:extLst>
        </xdr:cNvPr>
        <xdr:cNvSpPr txBox="1"/>
      </xdr:nvSpPr>
      <xdr:spPr>
        <a:xfrm>
          <a:off x="784860" y="3741420"/>
          <a:ext cx="8945880" cy="1821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Amélioration de la notoriété : 100000</a:t>
          </a:r>
          <a:r>
            <a:rPr lang="fr-FR" sz="1100" baseline="0"/>
            <a:t> </a:t>
          </a:r>
          <a:r>
            <a:rPr lang="fr-FR" sz="1100"/>
            <a:t>personnes (Portée)  ont vu notre message</a:t>
          </a:r>
          <a:r>
            <a:rPr lang="fr-FR" sz="1100" baseline="0"/>
            <a:t> publicitaire</a:t>
          </a:r>
        </a:p>
        <a:p>
          <a:r>
            <a:rPr lang="fr-FR" sz="1100" baseline="0"/>
            <a:t>Nombre de visiteurs  : 70 (Résultats) trafic</a:t>
          </a:r>
        </a:p>
        <a:p>
          <a:r>
            <a:rPr lang="fr-FR" sz="1100" baseline="0"/>
            <a:t>CTR global de  0,30% (590 clics/200000 impressions). </a:t>
          </a:r>
        </a:p>
        <a:p>
          <a:r>
            <a:rPr lang="fr-FR" sz="1100" baseline="0"/>
            <a:t>CPC : 1,02€ (budget de 20*30 = 600€ /590)</a:t>
          </a:r>
        </a:p>
        <a:p>
          <a:r>
            <a:rPr lang="fr-FR" sz="1100" baseline="0"/>
            <a:t>CPM : 3,00€ (600/200000*1000)</a:t>
          </a:r>
        </a:p>
        <a:p>
          <a:r>
            <a:rPr lang="fr-FR" sz="1100" baseline="0"/>
            <a:t>CPL : 8,57€ (600 /70 nouveaux visiteurs)</a:t>
          </a:r>
        </a:p>
        <a:p>
          <a:r>
            <a:rPr lang="fr-FR" sz="1100" baseline="0"/>
            <a:t>Rebond : 45 visiteurs (64,286*70)</a:t>
          </a:r>
        </a:p>
        <a:p>
          <a:r>
            <a:rPr lang="fr-FR" sz="1100" baseline="0"/>
            <a:t>Taux de conversion : 21% (15/70)</a:t>
          </a:r>
        </a:p>
        <a:p>
          <a:r>
            <a:rPr lang="fr-FR" sz="1100" baseline="0"/>
            <a:t>Contribution aux ventes du mois : 6% (1500 / 25000)</a:t>
          </a:r>
        </a:p>
        <a:p>
          <a:r>
            <a:rPr lang="fr-FR" sz="1100" baseline="0"/>
            <a:t>ROI : 2,5 (CA 1500/600)</a:t>
          </a:r>
        </a:p>
        <a:p>
          <a:endParaRPr lang="fr-FR" sz="1100" baseline="0"/>
        </a:p>
        <a:p>
          <a:endParaRPr lang="fr-FR" sz="1100" baseline="0"/>
        </a:p>
        <a:p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DRC/FOUCHER/Bloc%201%20Relation%20Client%20et%20n&#233;gociation-vente/Chapitre%209%20evaluer%20l'efficacit&#233;%20d'une%20d&#233;marche%20de%20prospection/CHAP9%20Evaluer%20l'efficacit&#233;%20d'une%20d&#233;marche%20de%20prosp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sources site ecommerce"/>
      <sheetName val="Mission 1 corrigé"/>
      <sheetName val=" Mission 2 corrigé"/>
      <sheetName val="Mission 3 corrigé"/>
      <sheetName val="Exo 1 corrigé "/>
      <sheetName val="Exo 2 corrigé"/>
      <sheetName val="Exo 3 corrigé"/>
      <sheetName val="Exo 4corrigé"/>
      <sheetName val="Feuil1"/>
    </sheetNames>
    <sheetDataSet>
      <sheetData sheetId="0">
        <row r="2">
          <cell r="B2">
            <v>27991</v>
          </cell>
        </row>
        <row r="3">
          <cell r="B3">
            <v>1004</v>
          </cell>
        </row>
        <row r="4">
          <cell r="B4">
            <v>2959</v>
          </cell>
        </row>
        <row r="5">
          <cell r="B5">
            <v>1676</v>
          </cell>
        </row>
        <row r="6">
          <cell r="B6">
            <v>271</v>
          </cell>
        </row>
        <row r="7">
          <cell r="B7">
            <v>5200</v>
          </cell>
        </row>
        <row r="9">
          <cell r="B9">
            <v>26987</v>
          </cell>
        </row>
        <row r="10">
          <cell r="B10">
            <v>26315</v>
          </cell>
        </row>
        <row r="11">
          <cell r="B11">
            <v>1283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">
          <cell r="D5">
            <v>2</v>
          </cell>
        </row>
        <row r="6">
          <cell r="D6">
            <v>8</v>
          </cell>
        </row>
        <row r="7">
          <cell r="D7">
            <v>800</v>
          </cell>
        </row>
        <row r="10">
          <cell r="D10">
            <v>15</v>
          </cell>
        </row>
        <row r="11">
          <cell r="D11">
            <v>20</v>
          </cell>
        </row>
        <row r="12">
          <cell r="D12">
            <v>5</v>
          </cell>
        </row>
        <row r="13">
          <cell r="D13">
            <v>0.15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9" sqref="I9"/>
    </sheetView>
  </sheetViews>
  <sheetFormatPr baseColWidth="10" defaultRowHeight="15" x14ac:dyDescent="0.25"/>
  <cols>
    <col min="2" max="2" width="12.5703125" customWidth="1"/>
    <col min="3" max="3" width="12.140625" customWidth="1"/>
    <col min="4" max="4" width="12.5703125" customWidth="1"/>
    <col min="5" max="5" width="16" customWidth="1"/>
    <col min="6" max="6" width="15.28515625" customWidth="1"/>
    <col min="7" max="9" width="12.5703125" customWidth="1"/>
  </cols>
  <sheetData>
    <row r="1" spans="1:9" ht="73.900000000000006" customHeight="1" x14ac:dyDescent="0.25">
      <c r="B1" s="28" t="s">
        <v>26</v>
      </c>
      <c r="C1" s="28" t="s">
        <v>27</v>
      </c>
      <c r="D1" s="28" t="s">
        <v>66</v>
      </c>
      <c r="E1" s="28" t="s">
        <v>28</v>
      </c>
      <c r="F1" s="28" t="s">
        <v>29</v>
      </c>
      <c r="G1" s="28" t="s">
        <v>30</v>
      </c>
      <c r="H1" s="28" t="s">
        <v>31</v>
      </c>
      <c r="I1" s="28" t="s">
        <v>32</v>
      </c>
    </row>
    <row r="2" spans="1:9" x14ac:dyDescent="0.25">
      <c r="A2" s="29" t="s">
        <v>33</v>
      </c>
      <c r="B2" s="29">
        <v>2150</v>
      </c>
      <c r="C2" s="29">
        <v>2143</v>
      </c>
      <c r="D2" s="29">
        <v>2000</v>
      </c>
      <c r="E2" s="29">
        <v>0</v>
      </c>
      <c r="F2" s="29">
        <v>1800</v>
      </c>
      <c r="G2" s="29">
        <v>54</v>
      </c>
      <c r="H2" s="29">
        <v>800</v>
      </c>
      <c r="I2" s="29">
        <v>140</v>
      </c>
    </row>
    <row r="3" spans="1:9" x14ac:dyDescent="0.25">
      <c r="A3" s="29" t="s">
        <v>34</v>
      </c>
      <c r="B3" s="29">
        <v>378</v>
      </c>
      <c r="C3" s="29">
        <v>150</v>
      </c>
      <c r="D3" s="29">
        <v>70</v>
      </c>
      <c r="E3" s="29">
        <v>2</v>
      </c>
      <c r="F3" s="29">
        <v>30</v>
      </c>
      <c r="G3" s="29">
        <v>5</v>
      </c>
      <c r="H3" s="29">
        <v>21</v>
      </c>
      <c r="I3" s="29">
        <v>5</v>
      </c>
    </row>
    <row r="5" spans="1:9" ht="30" x14ac:dyDescent="0.25">
      <c r="B5" s="30" t="str">
        <f>B9</f>
        <v>Taux de délivrabilité</v>
      </c>
      <c r="C5" s="30" t="str">
        <f>C9</f>
        <v>Taux ouverture</v>
      </c>
      <c r="D5" s="72" t="str">
        <f>D9</f>
        <v>Taux de click</v>
      </c>
      <c r="E5" s="30" t="str">
        <f>E9</f>
        <v>Taux de désabonnement</v>
      </c>
      <c r="F5" s="30" t="str">
        <f>F9</f>
        <v>Taux de réactivité</v>
      </c>
      <c r="G5" s="30" t="s">
        <v>25</v>
      </c>
    </row>
    <row r="6" spans="1:9" ht="60" x14ac:dyDescent="0.25">
      <c r="A6" s="30" t="s">
        <v>67</v>
      </c>
      <c r="B6" s="31">
        <v>0.95</v>
      </c>
      <c r="C6" s="31">
        <v>0.37</v>
      </c>
      <c r="D6" s="31">
        <v>4.2000000000000003E-2</v>
      </c>
      <c r="E6" s="31">
        <v>0.01</v>
      </c>
      <c r="F6" s="31">
        <v>0.9</v>
      </c>
      <c r="G6" s="32">
        <v>1.7000000000000001E-2</v>
      </c>
    </row>
    <row r="8" spans="1:9" x14ac:dyDescent="0.25">
      <c r="C8" s="33"/>
    </row>
    <row r="9" spans="1:9" ht="30" x14ac:dyDescent="0.25">
      <c r="A9" s="34"/>
      <c r="B9" s="35" t="s">
        <v>35</v>
      </c>
      <c r="C9" s="35" t="s">
        <v>36</v>
      </c>
      <c r="D9" s="35" t="s">
        <v>37</v>
      </c>
      <c r="E9" s="35" t="s">
        <v>38</v>
      </c>
      <c r="F9" s="35" t="s">
        <v>39</v>
      </c>
      <c r="G9" s="35" t="s">
        <v>25</v>
      </c>
    </row>
    <row r="10" spans="1:9" x14ac:dyDescent="0.25">
      <c r="A10" s="36" t="s">
        <v>40</v>
      </c>
      <c r="B10" s="37">
        <f>C2/B2</f>
        <v>0.9967441860465116</v>
      </c>
      <c r="C10" s="37">
        <f>D2/C2</f>
        <v>0.93327111525898276</v>
      </c>
      <c r="D10" s="37">
        <f>F2/C2</f>
        <v>0.83994400373308442</v>
      </c>
      <c r="E10" s="27">
        <f>E2/C2</f>
        <v>0</v>
      </c>
      <c r="F10" s="37">
        <f>F2/D2</f>
        <v>0.9</v>
      </c>
      <c r="G10" s="38">
        <f>I2/B2</f>
        <v>6.5116279069767441E-2</v>
      </c>
    </row>
    <row r="11" spans="1:9" x14ac:dyDescent="0.25">
      <c r="A11" s="36" t="s">
        <v>41</v>
      </c>
      <c r="B11" s="37">
        <f>C3/B3</f>
        <v>0.3968253968253968</v>
      </c>
      <c r="C11" s="37">
        <f>D3/C3</f>
        <v>0.46666666666666667</v>
      </c>
      <c r="D11" s="37">
        <f>F3/C3</f>
        <v>0.2</v>
      </c>
      <c r="E11" s="27">
        <f>E3/C3</f>
        <v>1.3333333333333334E-2</v>
      </c>
      <c r="F11" s="37">
        <f>F3/D3</f>
        <v>0.42857142857142855</v>
      </c>
      <c r="G11" s="38">
        <f>I3/B3</f>
        <v>1.3227513227513227E-2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8"/>
  <sheetViews>
    <sheetView topLeftCell="A22" workbookViewId="0">
      <selection activeCell="D42" sqref="D42"/>
    </sheetView>
  </sheetViews>
  <sheetFormatPr baseColWidth="10" defaultRowHeight="15" x14ac:dyDescent="0.25"/>
  <cols>
    <col min="10" max="10" width="17.85546875" customWidth="1"/>
  </cols>
  <sheetData>
    <row r="2" spans="1:11" ht="16.5" thickBot="1" x14ac:dyDescent="0.3">
      <c r="A2" s="43" t="s">
        <v>55</v>
      </c>
    </row>
    <row r="3" spans="1:11" ht="14.45" customHeight="1" x14ac:dyDescent="0.25">
      <c r="A3" s="60" t="s">
        <v>42</v>
      </c>
      <c r="B3" s="62" t="s">
        <v>56</v>
      </c>
      <c r="C3" s="44" t="s">
        <v>57</v>
      </c>
      <c r="D3" s="62" t="s">
        <v>58</v>
      </c>
      <c r="E3" s="62" t="s">
        <v>17</v>
      </c>
      <c r="F3" s="64" t="s">
        <v>59</v>
      </c>
      <c r="G3" s="65"/>
    </row>
    <row r="4" spans="1:11" ht="15.75" thickBot="1" x14ac:dyDescent="0.3">
      <c r="A4" s="61"/>
      <c r="B4" s="63"/>
      <c r="C4" s="45" t="s">
        <v>54</v>
      </c>
      <c r="D4" s="63"/>
      <c r="E4" s="63"/>
      <c r="F4" s="66"/>
      <c r="G4" s="67"/>
    </row>
    <row r="5" spans="1:11" ht="15.75" thickBot="1" x14ac:dyDescent="0.3">
      <c r="A5" s="41" t="s">
        <v>50</v>
      </c>
      <c r="B5" s="46">
        <v>30</v>
      </c>
      <c r="C5" s="46">
        <v>28</v>
      </c>
      <c r="D5" s="46">
        <v>7</v>
      </c>
      <c r="E5" s="46">
        <v>5</v>
      </c>
      <c r="F5" s="54">
        <v>5</v>
      </c>
      <c r="G5" s="47" t="s">
        <v>60</v>
      </c>
      <c r="I5" t="s">
        <v>63</v>
      </c>
      <c r="K5">
        <v>4</v>
      </c>
    </row>
    <row r="6" spans="1:11" ht="15.75" thickBot="1" x14ac:dyDescent="0.3">
      <c r="A6" s="41" t="s">
        <v>51</v>
      </c>
      <c r="B6" s="46">
        <v>30</v>
      </c>
      <c r="C6" s="46">
        <v>30</v>
      </c>
      <c r="D6" s="46">
        <v>10</v>
      </c>
      <c r="E6" s="46">
        <v>4</v>
      </c>
      <c r="F6" s="54">
        <v>4.5</v>
      </c>
      <c r="G6" s="47" t="s">
        <v>60</v>
      </c>
    </row>
    <row r="7" spans="1:11" ht="15.75" thickBot="1" x14ac:dyDescent="0.3">
      <c r="A7" s="41" t="s">
        <v>52</v>
      </c>
      <c r="B7" s="46">
        <v>30</v>
      </c>
      <c r="C7" s="46">
        <v>25</v>
      </c>
      <c r="D7" s="46">
        <v>20</v>
      </c>
      <c r="E7" s="46">
        <v>11</v>
      </c>
      <c r="F7" s="54">
        <v>6</v>
      </c>
      <c r="G7" s="47" t="s">
        <v>60</v>
      </c>
    </row>
    <row r="8" spans="1:11" ht="15.75" thickBot="1" x14ac:dyDescent="0.3">
      <c r="A8" s="41" t="s">
        <v>53</v>
      </c>
      <c r="B8" s="46">
        <v>30</v>
      </c>
      <c r="C8" s="46">
        <v>29</v>
      </c>
      <c r="D8" s="46">
        <v>18</v>
      </c>
      <c r="E8" s="46">
        <v>5</v>
      </c>
      <c r="F8" s="54">
        <v>4</v>
      </c>
      <c r="G8" s="47" t="s">
        <v>60</v>
      </c>
    </row>
    <row r="9" spans="1:11" ht="15.75" thickBot="1" x14ac:dyDescent="0.3">
      <c r="A9" s="41" t="s">
        <v>10</v>
      </c>
      <c r="B9" s="46">
        <v>120</v>
      </c>
      <c r="C9" s="46">
        <v>112</v>
      </c>
      <c r="D9" s="46">
        <v>55</v>
      </c>
      <c r="E9" s="46">
        <v>25</v>
      </c>
      <c r="F9" s="55"/>
      <c r="G9" s="42"/>
    </row>
    <row r="10" spans="1:11" ht="15.75" x14ac:dyDescent="0.25">
      <c r="A10" s="43"/>
    </row>
    <row r="11" spans="1:11" ht="16.5" thickBot="1" x14ac:dyDescent="0.3">
      <c r="A11" s="43" t="s">
        <v>61</v>
      </c>
    </row>
    <row r="12" spans="1:11" x14ac:dyDescent="0.25">
      <c r="A12" s="60"/>
      <c r="B12" s="62" t="s">
        <v>62</v>
      </c>
      <c r="C12" s="44" t="s">
        <v>57</v>
      </c>
      <c r="D12" s="62" t="s">
        <v>58</v>
      </c>
      <c r="E12" s="62" t="s">
        <v>17</v>
      </c>
      <c r="F12" s="64" t="s">
        <v>59</v>
      </c>
      <c r="G12" s="68"/>
    </row>
    <row r="13" spans="1:11" ht="15.75" thickBot="1" x14ac:dyDescent="0.3">
      <c r="A13" s="61"/>
      <c r="B13" s="63"/>
      <c r="C13" s="45" t="s">
        <v>54</v>
      </c>
      <c r="D13" s="63"/>
      <c r="E13" s="63"/>
      <c r="F13" s="66"/>
      <c r="G13" s="69"/>
    </row>
    <row r="14" spans="1:11" ht="15.75" thickBot="1" x14ac:dyDescent="0.3">
      <c r="A14" s="41" t="s">
        <v>50</v>
      </c>
      <c r="B14" s="48">
        <v>125</v>
      </c>
      <c r="C14" s="48">
        <v>85</v>
      </c>
      <c r="D14" s="56">
        <v>4</v>
      </c>
      <c r="E14" s="49">
        <v>2</v>
      </c>
      <c r="F14" s="51">
        <v>2</v>
      </c>
      <c r="G14" s="50" t="s">
        <v>60</v>
      </c>
    </row>
    <row r="15" spans="1:11" ht="15.75" thickBot="1" x14ac:dyDescent="0.3">
      <c r="A15" s="41" t="s">
        <v>51</v>
      </c>
      <c r="B15" s="48">
        <v>125</v>
      </c>
      <c r="C15" s="48">
        <v>90</v>
      </c>
      <c r="D15" s="56">
        <v>2</v>
      </c>
      <c r="E15" s="49">
        <v>0</v>
      </c>
      <c r="F15" s="51">
        <v>1.8</v>
      </c>
      <c r="G15" s="50" t="s">
        <v>60</v>
      </c>
    </row>
    <row r="16" spans="1:11" ht="15.75" thickBot="1" x14ac:dyDescent="0.3">
      <c r="A16" s="41" t="s">
        <v>52</v>
      </c>
      <c r="B16" s="48">
        <v>125</v>
      </c>
      <c r="C16" s="48">
        <v>80</v>
      </c>
      <c r="D16" s="56">
        <v>8</v>
      </c>
      <c r="E16" s="49">
        <v>3</v>
      </c>
      <c r="F16" s="51">
        <v>2.5</v>
      </c>
      <c r="G16" s="50" t="s">
        <v>60</v>
      </c>
    </row>
    <row r="17" spans="1:9" ht="15.75" thickBot="1" x14ac:dyDescent="0.3">
      <c r="A17" s="41" t="s">
        <v>53</v>
      </c>
      <c r="B17" s="48">
        <v>125</v>
      </c>
      <c r="C17" s="48">
        <v>100</v>
      </c>
      <c r="D17" s="56">
        <v>5</v>
      </c>
      <c r="E17" s="49">
        <v>1</v>
      </c>
      <c r="F17" s="51">
        <v>1.5</v>
      </c>
      <c r="G17" s="50" t="s">
        <v>60</v>
      </c>
    </row>
    <row r="18" spans="1:9" ht="15.75" thickBot="1" x14ac:dyDescent="0.3">
      <c r="A18" s="41" t="s">
        <v>10</v>
      </c>
      <c r="B18" s="48">
        <v>500</v>
      </c>
      <c r="C18" s="48">
        <v>355</v>
      </c>
      <c r="D18" s="56">
        <v>19</v>
      </c>
      <c r="E18" s="49">
        <v>6</v>
      </c>
      <c r="F18" s="52"/>
      <c r="G18" s="42"/>
    </row>
    <row r="23" spans="1:9" ht="15.75" thickBot="1" x14ac:dyDescent="0.3">
      <c r="A23" t="s">
        <v>64</v>
      </c>
    </row>
    <row r="24" spans="1:9" ht="45.75" thickBot="1" x14ac:dyDescent="0.3">
      <c r="A24" s="39" t="s">
        <v>42</v>
      </c>
      <c r="B24" s="40" t="s">
        <v>43</v>
      </c>
      <c r="C24" s="40" t="s">
        <v>44</v>
      </c>
      <c r="D24" s="40" t="s">
        <v>25</v>
      </c>
      <c r="E24" s="40" t="s">
        <v>45</v>
      </c>
      <c r="F24" s="40" t="s">
        <v>46</v>
      </c>
      <c r="G24" s="40" t="s">
        <v>47</v>
      </c>
      <c r="H24" s="40" t="s">
        <v>48</v>
      </c>
      <c r="I24" s="40" t="s">
        <v>49</v>
      </c>
    </row>
    <row r="25" spans="1:9" ht="15.75" thickBot="1" x14ac:dyDescent="0.3">
      <c r="A25" s="53" t="s">
        <v>50</v>
      </c>
      <c r="B25" s="42">
        <f>C5*F5</f>
        <v>140</v>
      </c>
      <c r="C25" s="57">
        <f>C5/B5</f>
        <v>0.93333333333333335</v>
      </c>
      <c r="D25" s="58">
        <f>E5/B5</f>
        <v>0.16666666666666666</v>
      </c>
      <c r="E25" s="42">
        <f>C5/$K$5</f>
        <v>7</v>
      </c>
      <c r="F25" s="42">
        <f>D5/$K$5</f>
        <v>1.75</v>
      </c>
      <c r="G25" s="57">
        <f>D5/C5</f>
        <v>0.25</v>
      </c>
      <c r="H25" s="57">
        <f>E5/D5</f>
        <v>0.7142857142857143</v>
      </c>
      <c r="I25" s="57">
        <f>E5/$E$9</f>
        <v>0.2</v>
      </c>
    </row>
    <row r="26" spans="1:9" ht="15.75" thickBot="1" x14ac:dyDescent="0.3">
      <c r="A26" s="53" t="s">
        <v>51</v>
      </c>
      <c r="B26" s="42">
        <f t="shared" ref="B26:B28" si="0">C6*F6</f>
        <v>135</v>
      </c>
      <c r="C26" s="57">
        <f t="shared" ref="C26:C28" si="1">C6/B6</f>
        <v>1</v>
      </c>
      <c r="D26" s="58">
        <f t="shared" ref="D26:D28" si="2">E6/B6</f>
        <v>0.13333333333333333</v>
      </c>
      <c r="E26" s="42">
        <f t="shared" ref="E26:E29" si="3">C6/$K$5</f>
        <v>7.5</v>
      </c>
      <c r="F26" s="42">
        <f t="shared" ref="F26:F29" si="4">D6/$K$5</f>
        <v>2.5</v>
      </c>
      <c r="G26" s="57">
        <f t="shared" ref="G26:G28" si="5">D6/C6</f>
        <v>0.33333333333333331</v>
      </c>
      <c r="H26" s="57">
        <f t="shared" ref="H26:H29" si="6">E6/D6</f>
        <v>0.4</v>
      </c>
      <c r="I26" s="57">
        <f t="shared" ref="I26:I29" si="7">E6/$E$9</f>
        <v>0.16</v>
      </c>
    </row>
    <row r="27" spans="1:9" ht="15.75" thickBot="1" x14ac:dyDescent="0.3">
      <c r="A27" s="53" t="s">
        <v>52</v>
      </c>
      <c r="B27" s="42">
        <f t="shared" si="0"/>
        <v>150</v>
      </c>
      <c r="C27" s="57">
        <f t="shared" si="1"/>
        <v>0.83333333333333337</v>
      </c>
      <c r="D27" s="58">
        <f t="shared" si="2"/>
        <v>0.36666666666666664</v>
      </c>
      <c r="E27" s="42">
        <f t="shared" si="3"/>
        <v>6.25</v>
      </c>
      <c r="F27" s="42">
        <f t="shared" si="4"/>
        <v>5</v>
      </c>
      <c r="G27" s="57">
        <f t="shared" si="5"/>
        <v>0.8</v>
      </c>
      <c r="H27" s="57">
        <f t="shared" si="6"/>
        <v>0.55000000000000004</v>
      </c>
      <c r="I27" s="57">
        <f t="shared" si="7"/>
        <v>0.44</v>
      </c>
    </row>
    <row r="28" spans="1:9" ht="15.75" thickBot="1" x14ac:dyDescent="0.3">
      <c r="A28" s="53" t="s">
        <v>53</v>
      </c>
      <c r="B28" s="42">
        <f t="shared" si="0"/>
        <v>116</v>
      </c>
      <c r="C28" s="57">
        <f t="shared" si="1"/>
        <v>0.96666666666666667</v>
      </c>
      <c r="D28" s="58">
        <f t="shared" si="2"/>
        <v>0.16666666666666666</v>
      </c>
      <c r="E28" s="42">
        <f t="shared" si="3"/>
        <v>7.25</v>
      </c>
      <c r="F28" s="42">
        <f t="shared" si="4"/>
        <v>4.5</v>
      </c>
      <c r="G28" s="57">
        <f t="shared" si="5"/>
        <v>0.62068965517241381</v>
      </c>
      <c r="H28" s="57">
        <f t="shared" si="6"/>
        <v>0.27777777777777779</v>
      </c>
      <c r="I28" s="57">
        <f t="shared" si="7"/>
        <v>0.2</v>
      </c>
    </row>
    <row r="29" spans="1:9" ht="15.75" thickBot="1" x14ac:dyDescent="0.3">
      <c r="A29" s="53" t="s">
        <v>10</v>
      </c>
      <c r="B29" s="42">
        <f>SUM(B25:B28)</f>
        <v>541</v>
      </c>
      <c r="C29" s="57">
        <f>C9/B9</f>
        <v>0.93333333333333335</v>
      </c>
      <c r="D29" s="58">
        <f>E9/B9</f>
        <v>0.20833333333333334</v>
      </c>
      <c r="E29" s="42">
        <f t="shared" si="3"/>
        <v>28</v>
      </c>
      <c r="F29" s="42">
        <f t="shared" si="4"/>
        <v>13.75</v>
      </c>
      <c r="G29" s="57">
        <f>D9/C9</f>
        <v>0.49107142857142855</v>
      </c>
      <c r="H29" s="57">
        <f t="shared" si="6"/>
        <v>0.45454545454545453</v>
      </c>
      <c r="I29" s="57">
        <f t="shared" si="7"/>
        <v>1</v>
      </c>
    </row>
    <row r="31" spans="1:9" x14ac:dyDescent="0.25">
      <c r="A31" s="59" t="s">
        <v>65</v>
      </c>
    </row>
    <row r="32" spans="1:9" ht="15.75" thickBot="1" x14ac:dyDescent="0.3"/>
    <row r="33" spans="1:9" ht="45.75" thickBot="1" x14ac:dyDescent="0.3">
      <c r="A33" s="39" t="s">
        <v>42</v>
      </c>
      <c r="B33" s="40" t="s">
        <v>43</v>
      </c>
      <c r="C33" s="40" t="s">
        <v>44</v>
      </c>
      <c r="D33" s="40" t="s">
        <v>25</v>
      </c>
      <c r="E33" s="40" t="s">
        <v>45</v>
      </c>
      <c r="F33" s="40" t="s">
        <v>46</v>
      </c>
      <c r="G33" s="40" t="s">
        <v>47</v>
      </c>
      <c r="H33" s="40" t="s">
        <v>48</v>
      </c>
      <c r="I33" s="40" t="s">
        <v>49</v>
      </c>
    </row>
    <row r="34" spans="1:9" ht="15.75" thickBot="1" x14ac:dyDescent="0.3">
      <c r="A34" s="53" t="s">
        <v>50</v>
      </c>
      <c r="B34" s="42">
        <f>C14*F14</f>
        <v>170</v>
      </c>
      <c r="C34" s="57">
        <f>C14/B14</f>
        <v>0.68</v>
      </c>
      <c r="D34" s="58">
        <f>E14/B14</f>
        <v>1.6E-2</v>
      </c>
      <c r="E34" s="42">
        <f>C14/$K$5</f>
        <v>21.25</v>
      </c>
      <c r="F34" s="42">
        <f>D14/$K$5</f>
        <v>1</v>
      </c>
      <c r="G34" s="57">
        <f>D14/C14</f>
        <v>4.7058823529411764E-2</v>
      </c>
      <c r="H34" s="57">
        <f>E14/D14</f>
        <v>0.5</v>
      </c>
      <c r="I34" s="57">
        <f t="shared" ref="I34:I37" si="8">E14/$E$18</f>
        <v>0.33333333333333331</v>
      </c>
    </row>
    <row r="35" spans="1:9" ht="15.75" thickBot="1" x14ac:dyDescent="0.3">
      <c r="A35" s="53" t="s">
        <v>51</v>
      </c>
      <c r="B35" s="42">
        <f t="shared" ref="B35:B37" si="9">C15*F15</f>
        <v>162</v>
      </c>
      <c r="C35" s="57">
        <f t="shared" ref="C35:C38" si="10">C15/B15</f>
        <v>0.72</v>
      </c>
      <c r="D35" s="58">
        <f t="shared" ref="D35:D38" si="11">E15/B15</f>
        <v>0</v>
      </c>
      <c r="E35" s="42">
        <f t="shared" ref="E35:E38" si="12">C15/$K$5</f>
        <v>22.5</v>
      </c>
      <c r="F35" s="42">
        <f t="shared" ref="F35:F38" si="13">D15/$K$5</f>
        <v>0.5</v>
      </c>
      <c r="G35" s="57">
        <f t="shared" ref="G35:G37" si="14">D15/C15</f>
        <v>2.2222222222222223E-2</v>
      </c>
      <c r="H35" s="57">
        <f t="shared" ref="H35:H38" si="15">E15/D15</f>
        <v>0</v>
      </c>
      <c r="I35" s="57">
        <f t="shared" si="8"/>
        <v>0</v>
      </c>
    </row>
    <row r="36" spans="1:9" ht="15.75" thickBot="1" x14ac:dyDescent="0.3">
      <c r="A36" s="53" t="s">
        <v>52</v>
      </c>
      <c r="B36" s="42">
        <f t="shared" si="9"/>
        <v>200</v>
      </c>
      <c r="C36" s="57">
        <f t="shared" si="10"/>
        <v>0.64</v>
      </c>
      <c r="D36" s="58">
        <f t="shared" si="11"/>
        <v>2.4E-2</v>
      </c>
      <c r="E36" s="42">
        <f t="shared" si="12"/>
        <v>20</v>
      </c>
      <c r="F36" s="42">
        <f t="shared" si="13"/>
        <v>2</v>
      </c>
      <c r="G36" s="57">
        <f t="shared" si="14"/>
        <v>0.1</v>
      </c>
      <c r="H36" s="57">
        <f t="shared" si="15"/>
        <v>0.375</v>
      </c>
      <c r="I36" s="57">
        <f t="shared" si="8"/>
        <v>0.5</v>
      </c>
    </row>
    <row r="37" spans="1:9" ht="15.75" thickBot="1" x14ac:dyDescent="0.3">
      <c r="A37" s="53" t="s">
        <v>53</v>
      </c>
      <c r="B37" s="42">
        <f t="shared" si="9"/>
        <v>150</v>
      </c>
      <c r="C37" s="57">
        <f t="shared" si="10"/>
        <v>0.8</v>
      </c>
      <c r="D37" s="58">
        <f t="shared" si="11"/>
        <v>8.0000000000000002E-3</v>
      </c>
      <c r="E37" s="42">
        <f t="shared" si="12"/>
        <v>25</v>
      </c>
      <c r="F37" s="42">
        <f t="shared" si="13"/>
        <v>1.25</v>
      </c>
      <c r="G37" s="57">
        <f t="shared" si="14"/>
        <v>0.05</v>
      </c>
      <c r="H37" s="57">
        <f t="shared" si="15"/>
        <v>0.2</v>
      </c>
      <c r="I37" s="57">
        <f t="shared" si="8"/>
        <v>0.16666666666666666</v>
      </c>
    </row>
    <row r="38" spans="1:9" ht="15.75" thickBot="1" x14ac:dyDescent="0.3">
      <c r="A38" s="53" t="s">
        <v>10</v>
      </c>
      <c r="B38" s="42">
        <f>SUM(B34:B37)</f>
        <v>682</v>
      </c>
      <c r="C38" s="57">
        <f t="shared" si="10"/>
        <v>0.71</v>
      </c>
      <c r="D38" s="58">
        <f t="shared" si="11"/>
        <v>1.2E-2</v>
      </c>
      <c r="E38" s="42">
        <f t="shared" si="12"/>
        <v>88.75</v>
      </c>
      <c r="F38" s="42">
        <f t="shared" si="13"/>
        <v>4.75</v>
      </c>
      <c r="G38" s="57">
        <f>D18/C18</f>
        <v>5.3521126760563378E-2</v>
      </c>
      <c r="H38" s="57">
        <f t="shared" si="15"/>
        <v>0.31578947368421051</v>
      </c>
      <c r="I38" s="57">
        <f>E18/$E$18</f>
        <v>1</v>
      </c>
    </row>
  </sheetData>
  <mergeCells count="10">
    <mergeCell ref="A3:A4"/>
    <mergeCell ref="D3:D4"/>
    <mergeCell ref="F3:G4"/>
    <mergeCell ref="A12:A13"/>
    <mergeCell ref="D12:D13"/>
    <mergeCell ref="F12:G13"/>
    <mergeCell ref="B3:B4"/>
    <mergeCell ref="E3:E4"/>
    <mergeCell ref="B12:B13"/>
    <mergeCell ref="E12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6"/>
  <sheetViews>
    <sheetView showGridLines="0" workbookViewId="0">
      <selection activeCell="E15" sqref="E15"/>
    </sheetView>
  </sheetViews>
  <sheetFormatPr baseColWidth="10" defaultRowHeight="15" x14ac:dyDescent="0.25"/>
  <cols>
    <col min="2" max="2" width="28.7109375" customWidth="1"/>
    <col min="6" max="6" width="16.85546875" customWidth="1"/>
    <col min="7" max="7" width="13" customWidth="1"/>
  </cols>
  <sheetData>
    <row r="2" spans="2:11" ht="15.75" thickBot="1" x14ac:dyDescent="0.3"/>
    <row r="3" spans="2:11" ht="60.75" thickBot="1" x14ac:dyDescent="0.3">
      <c r="B3" s="70" t="s">
        <v>0</v>
      </c>
      <c r="C3" s="71"/>
      <c r="D3" s="71"/>
      <c r="E3" s="5" t="s">
        <v>6</v>
      </c>
      <c r="F3" s="6" t="s">
        <v>5</v>
      </c>
      <c r="G3" s="20" t="s">
        <v>12</v>
      </c>
      <c r="H3" s="19" t="s">
        <v>23</v>
      </c>
      <c r="I3" s="16" t="s">
        <v>11</v>
      </c>
      <c r="J3" s="13"/>
    </row>
    <row r="4" spans="2:11" ht="15.75" thickBot="1" x14ac:dyDescent="0.3">
      <c r="B4" s="3" t="s">
        <v>1</v>
      </c>
      <c r="C4" s="4" t="s">
        <v>2</v>
      </c>
      <c r="D4" s="4" t="s">
        <v>3</v>
      </c>
      <c r="E4" s="7">
        <f>ROUND(F4/2,0)</f>
        <v>62500</v>
      </c>
      <c r="F4" s="8">
        <v>125000</v>
      </c>
      <c r="G4" s="8">
        <v>350</v>
      </c>
      <c r="H4" s="9">
        <v>50</v>
      </c>
      <c r="I4" s="17">
        <f>G4/F4</f>
        <v>2.8E-3</v>
      </c>
      <c r="J4" s="14">
        <f>H4/G4</f>
        <v>0.14285714285714285</v>
      </c>
      <c r="K4" s="2"/>
    </row>
    <row r="5" spans="2:11" ht="15.75" thickBot="1" x14ac:dyDescent="0.3">
      <c r="B5" s="3" t="s">
        <v>1</v>
      </c>
      <c r="C5" s="4" t="s">
        <v>2</v>
      </c>
      <c r="D5" s="4" t="s">
        <v>4</v>
      </c>
      <c r="E5" s="7">
        <f>ROUND(F5/2,0)</f>
        <v>37500</v>
      </c>
      <c r="F5" s="8">
        <v>75000</v>
      </c>
      <c r="G5" s="8">
        <v>240</v>
      </c>
      <c r="H5" s="9">
        <v>20</v>
      </c>
      <c r="I5" s="17">
        <f t="shared" ref="I5:I6" si="0">G5/F5</f>
        <v>3.2000000000000002E-3</v>
      </c>
      <c r="J5" s="14">
        <f t="shared" ref="J5:J6" si="1">H5/G5</f>
        <v>8.3333333333333329E-2</v>
      </c>
      <c r="K5" s="2"/>
    </row>
    <row r="6" spans="2:11" ht="15.75" thickBot="1" x14ac:dyDescent="0.3">
      <c r="D6" s="10" t="s">
        <v>10</v>
      </c>
      <c r="E6" s="10">
        <f>E4+E5</f>
        <v>100000</v>
      </c>
      <c r="F6" s="11">
        <f>F4+F5</f>
        <v>200000</v>
      </c>
      <c r="G6" s="11">
        <f>G4+G5</f>
        <v>590</v>
      </c>
      <c r="H6" s="12">
        <f>H4+H5</f>
        <v>70</v>
      </c>
      <c r="I6" s="17">
        <f t="shared" si="0"/>
        <v>2.9499999999999999E-3</v>
      </c>
      <c r="J6" s="14">
        <f t="shared" si="1"/>
        <v>0.11864406779661017</v>
      </c>
    </row>
    <row r="8" spans="2:11" x14ac:dyDescent="0.25">
      <c r="C8" t="s">
        <v>7</v>
      </c>
      <c r="D8" s="18">
        <f>G9/G6</f>
        <v>1.0169491525423728</v>
      </c>
    </row>
    <row r="9" spans="2:11" x14ac:dyDescent="0.25">
      <c r="C9" t="s">
        <v>8</v>
      </c>
      <c r="D9" s="18">
        <f>G9/F6*1000</f>
        <v>3</v>
      </c>
      <c r="F9" t="s">
        <v>9</v>
      </c>
      <c r="G9" s="2">
        <v>600</v>
      </c>
    </row>
    <row r="10" spans="2:11" x14ac:dyDescent="0.25">
      <c r="C10" t="s">
        <v>20</v>
      </c>
      <c r="D10" s="18">
        <f>G9/H6</f>
        <v>8.5714285714285712</v>
      </c>
    </row>
    <row r="11" spans="2:11" x14ac:dyDescent="0.25">
      <c r="B11" s="21" t="s">
        <v>13</v>
      </c>
    </row>
    <row r="12" spans="2:11" x14ac:dyDescent="0.25">
      <c r="B12" s="22" t="s">
        <v>14</v>
      </c>
      <c r="C12">
        <f>H6</f>
        <v>70</v>
      </c>
    </row>
    <row r="13" spans="2:11" x14ac:dyDescent="0.25">
      <c r="B13" t="s">
        <v>15</v>
      </c>
      <c r="C13" s="23">
        <f>K13/C12</f>
        <v>0.6428571428571429</v>
      </c>
      <c r="I13" t="s">
        <v>16</v>
      </c>
      <c r="K13" s="24">
        <v>45</v>
      </c>
    </row>
    <row r="14" spans="2:11" x14ac:dyDescent="0.25">
      <c r="B14" t="s">
        <v>17</v>
      </c>
      <c r="C14">
        <v>15</v>
      </c>
      <c r="I14" t="s">
        <v>18</v>
      </c>
      <c r="K14" s="25">
        <f>C14/C12</f>
        <v>0.21428571428571427</v>
      </c>
    </row>
    <row r="15" spans="2:11" x14ac:dyDescent="0.25">
      <c r="B15" t="s">
        <v>19</v>
      </c>
      <c r="C15" s="1">
        <v>1500</v>
      </c>
      <c r="I15" t="s">
        <v>22</v>
      </c>
      <c r="K15" s="25">
        <f>C15/C16</f>
        <v>0.06</v>
      </c>
    </row>
    <row r="16" spans="2:11" x14ac:dyDescent="0.25">
      <c r="B16" t="s">
        <v>21</v>
      </c>
      <c r="C16" s="26">
        <v>25000</v>
      </c>
      <c r="I16" t="s">
        <v>24</v>
      </c>
      <c r="K16" s="15">
        <f>C15/G9</f>
        <v>2.5</v>
      </c>
    </row>
  </sheetData>
  <mergeCells count="1">
    <mergeCell ref="B3: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Mission 1</vt:lpstr>
      <vt:lpstr>Mission 2</vt:lpstr>
      <vt:lpstr>Mission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campcros</dc:creator>
  <cp:lastModifiedBy>SARAIVA-LAFON AURELIE</cp:lastModifiedBy>
  <dcterms:created xsi:type="dcterms:W3CDTF">2021-11-06T17:27:41Z</dcterms:created>
  <dcterms:modified xsi:type="dcterms:W3CDTF">2022-06-14T12:31:49Z</dcterms:modified>
</cp:coreProperties>
</file>