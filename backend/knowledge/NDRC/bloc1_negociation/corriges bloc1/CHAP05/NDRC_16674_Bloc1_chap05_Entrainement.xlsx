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5/"/>
    </mc:Choice>
  </mc:AlternateContent>
  <xr:revisionPtr revIDLastSave="6" documentId="11_8CE95613C2A446C13DA66514804D3992A9CBB26B" xr6:coauthVersionLast="47" xr6:coauthVersionMax="47" xr10:uidLastSave="{073BBAEB-1392-4A8B-AA7B-C8B9EA7AA459}"/>
  <bookViews>
    <workbookView xWindow="-120" yWindow="-120" windowWidth="25440" windowHeight="15390" xr2:uid="{00000000-000D-0000-FFFF-FFFF00000000}"/>
  </bookViews>
  <sheets>
    <sheet name="Exercice2_Consigne1" sheetId="5" r:id="rId1"/>
    <sheet name="Exercice2_Consigne1_corrigé" sheetId="1" r:id="rId2"/>
    <sheet name="Exercice3_Consigne1" sheetId="6" r:id="rId3"/>
    <sheet name="Exercice3_Consigne1_corrigé" sheetId="3" r:id="rId4"/>
    <sheet name="Exercice3_Consigne2" sheetId="7" r:id="rId5"/>
    <sheet name="Exercice3_Consigne2_corrigé" sheetId="4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6" l="1"/>
  <c r="C8" i="6"/>
  <c r="B8" i="6"/>
  <c r="D7" i="6"/>
  <c r="D6" i="6"/>
  <c r="D5" i="6"/>
  <c r="D4" i="6"/>
  <c r="D3" i="6"/>
  <c r="C4" i="4"/>
  <c r="C5" i="4"/>
  <c r="C6" i="4"/>
  <c r="C7" i="4"/>
  <c r="C3" i="4"/>
  <c r="A22" i="3"/>
  <c r="B22" i="3"/>
  <c r="C22" i="3"/>
  <c r="A23" i="3"/>
  <c r="B23" i="3"/>
  <c r="C23" i="3"/>
  <c r="A24" i="3"/>
  <c r="B24" i="3"/>
  <c r="C24" i="3"/>
  <c r="A25" i="3"/>
  <c r="B25" i="3"/>
  <c r="C25" i="3"/>
  <c r="B21" i="3"/>
  <c r="C21" i="3"/>
  <c r="A21" i="3"/>
  <c r="C26" i="3"/>
  <c r="E21" i="3"/>
  <c r="G21" i="3"/>
  <c r="E22" i="3"/>
  <c r="G22" i="3"/>
  <c r="E23" i="3"/>
  <c r="G23" i="3"/>
  <c r="E24" i="3"/>
  <c r="G24" i="3"/>
  <c r="E25" i="3"/>
  <c r="G25" i="3"/>
  <c r="B26" i="3"/>
  <c r="D21" i="3"/>
  <c r="F21" i="3"/>
  <c r="D22" i="3"/>
  <c r="F22" i="3"/>
  <c r="D23" i="3"/>
  <c r="F23" i="3"/>
  <c r="D24" i="3"/>
  <c r="F24" i="3"/>
  <c r="D25" i="3"/>
  <c r="F25" i="3"/>
  <c r="D26" i="3"/>
  <c r="E26" i="3"/>
  <c r="C17" i="3"/>
  <c r="B17" i="3"/>
  <c r="E8" i="3"/>
  <c r="C8" i="3"/>
  <c r="B8" i="3"/>
  <c r="D13" i="3"/>
  <c r="D12" i="3"/>
  <c r="D16" i="3"/>
  <c r="D15" i="3"/>
  <c r="D14" i="3"/>
  <c r="D7" i="3"/>
  <c r="D6" i="3"/>
  <c r="D5" i="3"/>
  <c r="D4" i="3"/>
  <c r="D3" i="3"/>
  <c r="D4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</calcChain>
</file>

<file path=xl/sharedStrings.xml><?xml version="1.0" encoding="utf-8"?>
<sst xmlns="http://schemas.openxmlformats.org/spreadsheetml/2006/main" count="119" uniqueCount="45">
  <si>
    <t>Nombre de clients</t>
  </si>
  <si>
    <t>Clients</t>
  </si>
  <si>
    <t>Nombre de commandes</t>
  </si>
  <si>
    <t>Montant moyen</t>
  </si>
  <si>
    <t>CA</t>
  </si>
  <si>
    <t>CA %</t>
  </si>
  <si>
    <t>CA% cumulé</t>
  </si>
  <si>
    <t>Sporama</t>
  </si>
  <si>
    <t>Mimoun</t>
  </si>
  <si>
    <t>Fernandez</t>
  </si>
  <si>
    <t>Sport center</t>
  </si>
  <si>
    <t>Durand</t>
  </si>
  <si>
    <t>Sporting</t>
  </si>
  <si>
    <t>Jeanneau</t>
  </si>
  <si>
    <t>Outline</t>
  </si>
  <si>
    <t>Riboque</t>
  </si>
  <si>
    <t>PDS</t>
  </si>
  <si>
    <t>Nique</t>
  </si>
  <si>
    <t>Rocheteau</t>
  </si>
  <si>
    <t>Platini</t>
  </si>
  <si>
    <t>Gallerie</t>
  </si>
  <si>
    <t>Ski-vêt</t>
  </si>
  <si>
    <t>Louis</t>
  </si>
  <si>
    <t>Sport 2000</t>
  </si>
  <si>
    <t>Bidet</t>
  </si>
  <si>
    <t>Papin</t>
  </si>
  <si>
    <t>Coq</t>
  </si>
  <si>
    <t>Catégorie de client</t>
  </si>
  <si>
    <t>CA en K€</t>
  </si>
  <si>
    <t>CA moyen par client</t>
  </si>
  <si>
    <t>Nombre de visites</t>
  </si>
  <si>
    <t>Coopératives</t>
  </si>
  <si>
    <t>Petits détaillants</t>
  </si>
  <si>
    <t>Forains</t>
  </si>
  <si>
    <t>Centrales d'achat</t>
  </si>
  <si>
    <t>Gros indépendants</t>
  </si>
  <si>
    <t>Total</t>
  </si>
  <si>
    <t>Tri du plus gros au plus petit</t>
  </si>
  <si>
    <t>Calcul des catégories</t>
  </si>
  <si>
    <t>% nombre</t>
  </si>
  <si>
    <t>% CA</t>
  </si>
  <si>
    <t>% CA cumulé</t>
  </si>
  <si>
    <t>% nombre Cumulé</t>
  </si>
  <si>
    <t>Visites</t>
  </si>
  <si>
    <t>Catégorie de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</si>
</sst>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10" fontId="0" fillId="0" borderId="1" xfId="1" applyNumberFormat="1" applyFont="1" applyBorder="1"/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5" fontId="0" fillId="0" borderId="1" xfId="2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65" fontId="0" fillId="0" borderId="1" xfId="2" applyNumberFormat="1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/>
    <xf numFmtId="165" fontId="0" fillId="0" borderId="1" xfId="0" applyNumberFormat="1" applyBorder="1"/>
    <xf numFmtId="0" fontId="2" fillId="0" borderId="1" xfId="0" applyFont="1" applyFill="1" applyBorder="1" applyAlignment="1">
      <alignment vertical="center" wrapText="1"/>
    </xf>
    <xf numFmtId="9" fontId="6" fillId="0" borderId="1" xfId="1" applyFont="1" applyBorder="1" applyAlignment="1"/>
    <xf numFmtId="165" fontId="2" fillId="0" borderId="1" xfId="2" applyNumberFormat="1" applyFont="1" applyBorder="1"/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3"/>
  <sheetViews>
    <sheetView tabSelected="1" workbookViewId="0">
      <selection activeCell="A30" sqref="A30"/>
    </sheetView>
  </sheetViews>
  <sheetFormatPr baseColWidth="10" defaultRowHeight="15" x14ac:dyDescent="0.25"/>
  <cols>
    <col min="1" max="1" width="16.28515625" customWidth="1"/>
  </cols>
  <sheetData>
    <row r="2" spans="1:6" ht="45" x14ac:dyDescent="0.25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5"/>
      <c r="C3" s="5"/>
      <c r="D3" s="6"/>
      <c r="E3" s="7"/>
      <c r="F3" s="7"/>
    </row>
    <row r="4" spans="1:6" x14ac:dyDescent="0.25">
      <c r="A4" s="4" t="s">
        <v>8</v>
      </c>
      <c r="B4" s="5"/>
      <c r="C4" s="5"/>
      <c r="D4" s="6"/>
      <c r="E4" s="7"/>
      <c r="F4" s="7"/>
    </row>
    <row r="5" spans="1:6" x14ac:dyDescent="0.25">
      <c r="A5" s="4" t="s">
        <v>9</v>
      </c>
      <c r="B5" s="5"/>
      <c r="C5" s="5"/>
      <c r="D5" s="6"/>
      <c r="E5" s="7"/>
      <c r="F5" s="7"/>
    </row>
    <row r="6" spans="1:6" x14ac:dyDescent="0.25">
      <c r="A6" s="4" t="s">
        <v>10</v>
      </c>
      <c r="B6" s="5"/>
      <c r="C6" s="5"/>
      <c r="D6" s="6"/>
      <c r="E6" s="7"/>
      <c r="F6" s="7"/>
    </row>
    <row r="7" spans="1:6" x14ac:dyDescent="0.25">
      <c r="A7" s="4" t="s">
        <v>11</v>
      </c>
      <c r="B7" s="5"/>
      <c r="C7" s="5"/>
      <c r="D7" s="6"/>
      <c r="E7" s="7"/>
      <c r="F7" s="7"/>
    </row>
    <row r="8" spans="1:6" x14ac:dyDescent="0.25">
      <c r="A8" s="4" t="s">
        <v>12</v>
      </c>
      <c r="B8" s="5"/>
      <c r="C8" s="5"/>
      <c r="D8" s="6"/>
      <c r="E8" s="7"/>
      <c r="F8" s="7"/>
    </row>
    <row r="9" spans="1:6" x14ac:dyDescent="0.25">
      <c r="A9" s="4" t="s">
        <v>13</v>
      </c>
      <c r="B9" s="5"/>
      <c r="C9" s="5"/>
      <c r="D9" s="6"/>
      <c r="E9" s="7"/>
      <c r="F9" s="7"/>
    </row>
    <row r="10" spans="1:6" x14ac:dyDescent="0.25">
      <c r="A10" s="4" t="s">
        <v>14</v>
      </c>
      <c r="B10" s="5"/>
      <c r="C10" s="5"/>
      <c r="D10" s="6"/>
      <c r="E10" s="7"/>
      <c r="F10" s="7"/>
    </row>
    <row r="11" spans="1:6" x14ac:dyDescent="0.25">
      <c r="A11" s="4" t="s">
        <v>15</v>
      </c>
      <c r="B11" s="5"/>
      <c r="C11" s="5"/>
      <c r="D11" s="6"/>
      <c r="E11" s="7"/>
      <c r="F11" s="7"/>
    </row>
    <row r="12" spans="1:6" x14ac:dyDescent="0.25">
      <c r="A12" s="4" t="s">
        <v>16</v>
      </c>
      <c r="B12" s="5"/>
      <c r="C12" s="5"/>
      <c r="D12" s="6"/>
      <c r="E12" s="7"/>
      <c r="F12" s="7"/>
    </row>
    <row r="13" spans="1:6" x14ac:dyDescent="0.25">
      <c r="A13" s="4" t="s">
        <v>17</v>
      </c>
      <c r="B13" s="5"/>
      <c r="C13" s="5"/>
      <c r="D13" s="6"/>
      <c r="E13" s="7"/>
      <c r="F13" s="7"/>
    </row>
    <row r="14" spans="1:6" x14ac:dyDescent="0.25">
      <c r="A14" s="4" t="s">
        <v>18</v>
      </c>
      <c r="B14" s="5"/>
      <c r="C14" s="5"/>
      <c r="D14" s="6"/>
      <c r="E14" s="7"/>
      <c r="F14" s="7"/>
    </row>
    <row r="15" spans="1:6" x14ac:dyDescent="0.25">
      <c r="A15" s="4" t="s">
        <v>19</v>
      </c>
      <c r="B15" s="5"/>
      <c r="C15" s="5"/>
      <c r="D15" s="6"/>
      <c r="E15" s="7"/>
      <c r="F15" s="7"/>
    </row>
    <row r="16" spans="1:6" x14ac:dyDescent="0.25">
      <c r="A16" s="4" t="s">
        <v>20</v>
      </c>
      <c r="B16" s="5"/>
      <c r="C16" s="5"/>
      <c r="D16" s="6"/>
      <c r="E16" s="7"/>
      <c r="F16" s="7"/>
    </row>
    <row r="17" spans="1:6" x14ac:dyDescent="0.25">
      <c r="A17" s="4" t="s">
        <v>21</v>
      </c>
      <c r="B17" s="5"/>
      <c r="C17" s="5"/>
      <c r="D17" s="6"/>
      <c r="E17" s="7"/>
      <c r="F17" s="7"/>
    </row>
    <row r="18" spans="1:6" x14ac:dyDescent="0.25">
      <c r="A18" s="4" t="s">
        <v>22</v>
      </c>
      <c r="B18" s="5"/>
      <c r="C18" s="5"/>
      <c r="D18" s="6"/>
      <c r="E18" s="7"/>
      <c r="F18" s="7"/>
    </row>
    <row r="19" spans="1:6" x14ac:dyDescent="0.25">
      <c r="A19" s="4" t="s">
        <v>23</v>
      </c>
      <c r="B19" s="5"/>
      <c r="C19" s="5"/>
      <c r="D19" s="6"/>
      <c r="E19" s="7"/>
      <c r="F19" s="7"/>
    </row>
    <row r="20" spans="1:6" x14ac:dyDescent="0.25">
      <c r="A20" s="4" t="s">
        <v>24</v>
      </c>
      <c r="B20" s="5"/>
      <c r="C20" s="5"/>
      <c r="D20" s="6"/>
      <c r="E20" s="7"/>
      <c r="F20" s="7"/>
    </row>
    <row r="21" spans="1:6" x14ac:dyDescent="0.25">
      <c r="A21" s="4" t="s">
        <v>25</v>
      </c>
      <c r="B21" s="5"/>
      <c r="C21" s="5"/>
      <c r="D21" s="6"/>
      <c r="E21" s="7"/>
      <c r="F21" s="7"/>
    </row>
    <row r="22" spans="1:6" x14ac:dyDescent="0.25">
      <c r="A22" s="4" t="s">
        <v>26</v>
      </c>
      <c r="B22" s="5"/>
      <c r="C22" s="5"/>
      <c r="D22" s="6"/>
      <c r="E22" s="7"/>
      <c r="F22" s="7"/>
    </row>
    <row r="23" spans="1:6" x14ac:dyDescent="0.25">
      <c r="A23" s="6"/>
      <c r="B23" s="6"/>
      <c r="C23" s="8"/>
      <c r="D23" s="8"/>
      <c r="E23" s="6"/>
      <c r="F2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3"/>
  <sheetViews>
    <sheetView workbookViewId="0">
      <selection activeCell="A2" sqref="A2:F23"/>
    </sheetView>
  </sheetViews>
  <sheetFormatPr baseColWidth="10" defaultRowHeight="15" x14ac:dyDescent="0.25"/>
  <cols>
    <col min="1" max="1" width="32.85546875" customWidth="1"/>
  </cols>
  <sheetData>
    <row r="2" spans="1:6" ht="32.25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 ht="16.5" customHeight="1" x14ac:dyDescent="0.25">
      <c r="A3" s="4" t="s">
        <v>7</v>
      </c>
      <c r="B3" s="5">
        <v>12</v>
      </c>
      <c r="C3" s="5">
        <v>2500</v>
      </c>
      <c r="D3" s="6">
        <f t="shared" ref="D3:D22" si="0">C3*B3</f>
        <v>30000</v>
      </c>
      <c r="E3" s="7">
        <f>D3/D$23</f>
        <v>0.34944670937682004</v>
      </c>
      <c r="F3" s="7">
        <f>E3</f>
        <v>0.34944670937682004</v>
      </c>
    </row>
    <row r="4" spans="1:6" ht="16.5" customHeight="1" x14ac:dyDescent="0.25">
      <c r="A4" s="4" t="s">
        <v>8</v>
      </c>
      <c r="B4" s="5">
        <v>10</v>
      </c>
      <c r="C4" s="5">
        <v>1400</v>
      </c>
      <c r="D4" s="6">
        <f t="shared" si="0"/>
        <v>14000</v>
      </c>
      <c r="E4" s="7">
        <f t="shared" ref="E4:E22" si="1">D4/D$23</f>
        <v>0.163075131042516</v>
      </c>
      <c r="F4" s="7">
        <f>F3+E4</f>
        <v>0.51252184041933602</v>
      </c>
    </row>
    <row r="5" spans="1:6" ht="16.5" customHeight="1" x14ac:dyDescent="0.25">
      <c r="A5" s="4" t="s">
        <v>9</v>
      </c>
      <c r="B5" s="5">
        <v>10</v>
      </c>
      <c r="C5" s="5">
        <v>1300</v>
      </c>
      <c r="D5" s="6">
        <f t="shared" si="0"/>
        <v>13000</v>
      </c>
      <c r="E5" s="7">
        <f t="shared" si="1"/>
        <v>0.15142690739662201</v>
      </c>
      <c r="F5" s="7">
        <f t="shared" ref="F5:F22" si="2">F4+E5</f>
        <v>0.66394874781595803</v>
      </c>
    </row>
    <row r="6" spans="1:6" ht="16.5" customHeight="1" x14ac:dyDescent="0.25">
      <c r="A6" s="4" t="s">
        <v>10</v>
      </c>
      <c r="B6" s="5">
        <v>8</v>
      </c>
      <c r="C6" s="5">
        <v>1250</v>
      </c>
      <c r="D6" s="6">
        <f t="shared" si="0"/>
        <v>10000</v>
      </c>
      <c r="E6" s="7">
        <f t="shared" si="1"/>
        <v>0.11648223645894001</v>
      </c>
      <c r="F6" s="7">
        <f t="shared" si="2"/>
        <v>0.78043098427489799</v>
      </c>
    </row>
    <row r="7" spans="1:6" ht="16.5" customHeight="1" x14ac:dyDescent="0.25">
      <c r="A7" s="4" t="s">
        <v>11</v>
      </c>
      <c r="B7" s="5">
        <v>4</v>
      </c>
      <c r="C7" s="5">
        <v>2250</v>
      </c>
      <c r="D7" s="6">
        <f t="shared" si="0"/>
        <v>9000</v>
      </c>
      <c r="E7" s="7">
        <f t="shared" si="1"/>
        <v>0.10483401281304601</v>
      </c>
      <c r="F7" s="7">
        <f t="shared" si="2"/>
        <v>0.88526499708794404</v>
      </c>
    </row>
    <row r="8" spans="1:6" x14ac:dyDescent="0.25">
      <c r="A8" s="4" t="s">
        <v>12</v>
      </c>
      <c r="B8" s="5">
        <v>4</v>
      </c>
      <c r="C8" s="5">
        <v>800</v>
      </c>
      <c r="D8" s="6">
        <f t="shared" si="0"/>
        <v>3200</v>
      </c>
      <c r="E8" s="7">
        <f t="shared" si="1"/>
        <v>3.7274315666860805E-2</v>
      </c>
      <c r="F8" s="7">
        <f t="shared" si="2"/>
        <v>0.92253931275480483</v>
      </c>
    </row>
    <row r="9" spans="1:6" x14ac:dyDescent="0.25">
      <c r="A9" s="4" t="s">
        <v>13</v>
      </c>
      <c r="B9" s="5">
        <v>2</v>
      </c>
      <c r="C9" s="5">
        <v>675</v>
      </c>
      <c r="D9" s="6">
        <f t="shared" si="0"/>
        <v>1350</v>
      </c>
      <c r="E9" s="7">
        <f t="shared" si="1"/>
        <v>1.5725101921956901E-2</v>
      </c>
      <c r="F9" s="7">
        <f t="shared" si="2"/>
        <v>0.93826441467676169</v>
      </c>
    </row>
    <row r="10" spans="1:6" x14ac:dyDescent="0.25">
      <c r="A10" s="4" t="s">
        <v>14</v>
      </c>
      <c r="B10" s="5">
        <v>3</v>
      </c>
      <c r="C10" s="5">
        <v>300</v>
      </c>
      <c r="D10" s="6">
        <f t="shared" si="0"/>
        <v>900</v>
      </c>
      <c r="E10" s="7">
        <f t="shared" si="1"/>
        <v>1.0483401281304601E-2</v>
      </c>
      <c r="F10" s="7">
        <f t="shared" si="2"/>
        <v>0.94874781595806634</v>
      </c>
    </row>
    <row r="11" spans="1:6" x14ac:dyDescent="0.25">
      <c r="A11" s="4" t="s">
        <v>15</v>
      </c>
      <c r="B11" s="5">
        <v>2</v>
      </c>
      <c r="C11" s="5">
        <v>410</v>
      </c>
      <c r="D11" s="6">
        <f t="shared" si="0"/>
        <v>820</v>
      </c>
      <c r="E11" s="7">
        <f t="shared" si="1"/>
        <v>9.5515433896330802E-3</v>
      </c>
      <c r="F11" s="7">
        <f t="shared" si="2"/>
        <v>0.95829935934769939</v>
      </c>
    </row>
    <row r="12" spans="1:6" x14ac:dyDescent="0.25">
      <c r="A12" s="4" t="s">
        <v>16</v>
      </c>
      <c r="B12" s="5">
        <v>2</v>
      </c>
      <c r="C12" s="5">
        <v>340</v>
      </c>
      <c r="D12" s="6">
        <f t="shared" si="0"/>
        <v>680</v>
      </c>
      <c r="E12" s="7">
        <f t="shared" si="1"/>
        <v>7.9207920792079209E-3</v>
      </c>
      <c r="F12" s="7">
        <f t="shared" si="2"/>
        <v>0.96622015142690731</v>
      </c>
    </row>
    <row r="13" spans="1:6" x14ac:dyDescent="0.25">
      <c r="A13" s="4" t="s">
        <v>17</v>
      </c>
      <c r="B13" s="5">
        <v>1</v>
      </c>
      <c r="C13" s="5">
        <v>650</v>
      </c>
      <c r="D13" s="6">
        <f t="shared" si="0"/>
        <v>650</v>
      </c>
      <c r="E13" s="7">
        <f t="shared" si="1"/>
        <v>7.5713453698311008E-3</v>
      </c>
      <c r="F13" s="7">
        <f t="shared" si="2"/>
        <v>0.97379149679673838</v>
      </c>
    </row>
    <row r="14" spans="1:6" x14ac:dyDescent="0.25">
      <c r="A14" s="4" t="s">
        <v>18</v>
      </c>
      <c r="B14" s="5">
        <v>2</v>
      </c>
      <c r="C14" s="5">
        <v>250</v>
      </c>
      <c r="D14" s="6">
        <f t="shared" si="0"/>
        <v>500</v>
      </c>
      <c r="E14" s="7">
        <f t="shared" si="1"/>
        <v>5.8241118229470003E-3</v>
      </c>
      <c r="F14" s="7">
        <f t="shared" si="2"/>
        <v>0.97961560861968533</v>
      </c>
    </row>
    <row r="15" spans="1:6" x14ac:dyDescent="0.25">
      <c r="A15" s="4" t="s">
        <v>19</v>
      </c>
      <c r="B15" s="5">
        <v>3</v>
      </c>
      <c r="C15" s="5">
        <v>150</v>
      </c>
      <c r="D15" s="6">
        <f t="shared" si="0"/>
        <v>450</v>
      </c>
      <c r="E15" s="7">
        <f t="shared" si="1"/>
        <v>5.2417006406523005E-3</v>
      </c>
      <c r="F15" s="7">
        <f t="shared" si="2"/>
        <v>0.98485730926033765</v>
      </c>
    </row>
    <row r="16" spans="1:6" x14ac:dyDescent="0.25">
      <c r="A16" s="4" t="s">
        <v>20</v>
      </c>
      <c r="B16" s="5">
        <v>2</v>
      </c>
      <c r="C16" s="5">
        <v>160</v>
      </c>
      <c r="D16" s="6">
        <f t="shared" si="0"/>
        <v>320</v>
      </c>
      <c r="E16" s="7">
        <f t="shared" si="1"/>
        <v>3.7274315666860802E-3</v>
      </c>
      <c r="F16" s="7">
        <f t="shared" si="2"/>
        <v>0.98858474082702374</v>
      </c>
    </row>
    <row r="17" spans="1:6" x14ac:dyDescent="0.25">
      <c r="A17" s="4" t="s">
        <v>21</v>
      </c>
      <c r="B17" s="5">
        <v>2</v>
      </c>
      <c r="C17" s="5">
        <v>150</v>
      </c>
      <c r="D17" s="6">
        <f t="shared" si="0"/>
        <v>300</v>
      </c>
      <c r="E17" s="7">
        <f t="shared" si="1"/>
        <v>3.4944670937682005E-3</v>
      </c>
      <c r="F17" s="7">
        <f t="shared" si="2"/>
        <v>0.99207920792079196</v>
      </c>
    </row>
    <row r="18" spans="1:6" x14ac:dyDescent="0.25">
      <c r="A18" s="4" t="s">
        <v>22</v>
      </c>
      <c r="B18" s="5">
        <v>1</v>
      </c>
      <c r="C18" s="5">
        <v>280</v>
      </c>
      <c r="D18" s="6">
        <f t="shared" si="0"/>
        <v>280</v>
      </c>
      <c r="E18" s="7">
        <f t="shared" si="1"/>
        <v>3.2615026208503203E-3</v>
      </c>
      <c r="F18" s="7">
        <f t="shared" si="2"/>
        <v>0.9953407105416423</v>
      </c>
    </row>
    <row r="19" spans="1:6" x14ac:dyDescent="0.25">
      <c r="A19" s="4" t="s">
        <v>23</v>
      </c>
      <c r="B19" s="5">
        <v>1</v>
      </c>
      <c r="C19" s="5">
        <v>250</v>
      </c>
      <c r="D19" s="6">
        <f t="shared" si="0"/>
        <v>250</v>
      </c>
      <c r="E19" s="7">
        <f t="shared" si="1"/>
        <v>2.9120559114735002E-3</v>
      </c>
      <c r="F19" s="7">
        <f t="shared" si="2"/>
        <v>0.99825276645311578</v>
      </c>
    </row>
    <row r="20" spans="1:6" x14ac:dyDescent="0.25">
      <c r="A20" s="4" t="s">
        <v>24</v>
      </c>
      <c r="B20" s="5">
        <v>1</v>
      </c>
      <c r="C20" s="5">
        <v>150</v>
      </c>
      <c r="D20" s="6">
        <f t="shared" si="0"/>
        <v>150</v>
      </c>
      <c r="E20" s="7">
        <f t="shared" si="1"/>
        <v>1.7472335468841002E-3</v>
      </c>
      <c r="F20" s="7">
        <f t="shared" si="2"/>
        <v>0.99999999999999989</v>
      </c>
    </row>
    <row r="21" spans="1:6" x14ac:dyDescent="0.25">
      <c r="A21" s="4" t="s">
        <v>25</v>
      </c>
      <c r="B21" s="5">
        <v>0</v>
      </c>
      <c r="C21" s="5">
        <v>0</v>
      </c>
      <c r="D21" s="6">
        <f t="shared" si="0"/>
        <v>0</v>
      </c>
      <c r="E21" s="7">
        <f t="shared" si="1"/>
        <v>0</v>
      </c>
      <c r="F21" s="7">
        <f t="shared" si="2"/>
        <v>0.99999999999999989</v>
      </c>
    </row>
    <row r="22" spans="1:6" x14ac:dyDescent="0.25">
      <c r="A22" s="4" t="s">
        <v>26</v>
      </c>
      <c r="B22" s="5">
        <v>0</v>
      </c>
      <c r="C22" s="5">
        <v>0</v>
      </c>
      <c r="D22" s="6">
        <f t="shared" si="0"/>
        <v>0</v>
      </c>
      <c r="E22" s="7">
        <f t="shared" si="1"/>
        <v>0</v>
      </c>
      <c r="F22" s="7">
        <f t="shared" si="2"/>
        <v>0.99999999999999989</v>
      </c>
    </row>
    <row r="23" spans="1:6" x14ac:dyDescent="0.25">
      <c r="A23" s="6"/>
      <c r="B23" s="6"/>
      <c r="C23" s="8"/>
      <c r="D23" s="8">
        <f>SUM(D3:D22)</f>
        <v>85850</v>
      </c>
      <c r="E23" s="6"/>
      <c r="F2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6"/>
  <sheetViews>
    <sheetView workbookViewId="0">
      <selection activeCell="J19" sqref="J19"/>
    </sheetView>
  </sheetViews>
  <sheetFormatPr baseColWidth="10" defaultRowHeight="15" x14ac:dyDescent="0.25"/>
  <cols>
    <col min="1" max="1" width="19.140625" customWidth="1"/>
    <col min="4" max="4" width="15.5703125" customWidth="1"/>
  </cols>
  <sheetData>
    <row r="2" spans="1:5" ht="30" x14ac:dyDescent="0.25">
      <c r="A2" s="11" t="s">
        <v>44</v>
      </c>
      <c r="B2" s="12" t="s">
        <v>0</v>
      </c>
      <c r="C2" s="12" t="s">
        <v>28</v>
      </c>
      <c r="D2" s="12" t="s">
        <v>29</v>
      </c>
      <c r="E2" s="12" t="s">
        <v>30</v>
      </c>
    </row>
    <row r="3" spans="1:5" ht="21.75" customHeight="1" x14ac:dyDescent="0.25">
      <c r="A3" s="9" t="s">
        <v>31</v>
      </c>
      <c r="B3" s="10">
        <v>100</v>
      </c>
      <c r="C3" s="13">
        <v>1645</v>
      </c>
      <c r="D3" s="13">
        <f>C3/B3*1000</f>
        <v>16450</v>
      </c>
      <c r="E3" s="13">
        <v>800</v>
      </c>
    </row>
    <row r="4" spans="1:5" ht="18" customHeight="1" x14ac:dyDescent="0.25">
      <c r="A4" s="9" t="s">
        <v>32</v>
      </c>
      <c r="B4" s="10">
        <v>750</v>
      </c>
      <c r="C4" s="13">
        <v>5630</v>
      </c>
      <c r="D4" s="13">
        <f t="shared" ref="D4:D7" si="0">C4/B4*1000</f>
        <v>7506.666666666667</v>
      </c>
      <c r="E4" s="13">
        <v>10400</v>
      </c>
    </row>
    <row r="5" spans="1:5" x14ac:dyDescent="0.25">
      <c r="A5" s="9" t="s">
        <v>33</v>
      </c>
      <c r="B5" s="10">
        <v>350</v>
      </c>
      <c r="C5" s="13">
        <v>2125</v>
      </c>
      <c r="D5" s="13">
        <f t="shared" si="0"/>
        <v>6071.4285714285716</v>
      </c>
      <c r="E5" s="13">
        <v>1600</v>
      </c>
    </row>
    <row r="6" spans="1:5" ht="23.25" customHeight="1" x14ac:dyDescent="0.25">
      <c r="A6" s="9" t="s">
        <v>34</v>
      </c>
      <c r="B6" s="10">
        <v>105</v>
      </c>
      <c r="C6" s="13">
        <v>18200</v>
      </c>
      <c r="D6" s="13">
        <f t="shared" si="0"/>
        <v>173333.33333333334</v>
      </c>
      <c r="E6" s="13">
        <v>960</v>
      </c>
    </row>
    <row r="7" spans="1:5" ht="24.75" customHeight="1" x14ac:dyDescent="0.25">
      <c r="A7" s="9" t="s">
        <v>35</v>
      </c>
      <c r="B7" s="10">
        <v>195</v>
      </c>
      <c r="C7" s="13">
        <v>9400</v>
      </c>
      <c r="D7" s="13">
        <f t="shared" si="0"/>
        <v>48205.128205128203</v>
      </c>
      <c r="E7" s="13">
        <v>2240</v>
      </c>
    </row>
    <row r="8" spans="1:5" x14ac:dyDescent="0.25">
      <c r="A8" s="11" t="s">
        <v>36</v>
      </c>
      <c r="B8" s="12">
        <f>SUM(B3:B7)</f>
        <v>1500</v>
      </c>
      <c r="C8" s="16">
        <f>SUM(C3:C7)</f>
        <v>37000</v>
      </c>
      <c r="D8" s="16"/>
      <c r="E8" s="16">
        <f>SUM(E3:E7)</f>
        <v>16000</v>
      </c>
    </row>
    <row r="10" spans="1:5" ht="30" x14ac:dyDescent="0.25">
      <c r="A10" s="14" t="s">
        <v>37</v>
      </c>
    </row>
    <row r="11" spans="1:5" ht="30" x14ac:dyDescent="0.25">
      <c r="A11" s="11" t="s">
        <v>44</v>
      </c>
      <c r="B11" s="12" t="s">
        <v>0</v>
      </c>
      <c r="C11" s="12" t="s">
        <v>28</v>
      </c>
      <c r="D11" s="12" t="s">
        <v>29</v>
      </c>
    </row>
    <row r="12" spans="1:5" x14ac:dyDescent="0.25">
      <c r="A12" s="9"/>
      <c r="B12" s="10"/>
      <c r="C12" s="13"/>
      <c r="D12" s="13"/>
    </row>
    <row r="13" spans="1:5" x14ac:dyDescent="0.25">
      <c r="A13" s="9"/>
      <c r="B13" s="10"/>
      <c r="C13" s="13"/>
      <c r="D13" s="13"/>
    </row>
    <row r="14" spans="1:5" x14ac:dyDescent="0.25">
      <c r="A14" s="9"/>
      <c r="B14" s="10"/>
      <c r="C14" s="13"/>
      <c r="D14" s="13"/>
    </row>
    <row r="15" spans="1:5" x14ac:dyDescent="0.25">
      <c r="A15" s="9"/>
      <c r="B15" s="10"/>
      <c r="C15" s="13"/>
      <c r="D15" s="13"/>
    </row>
    <row r="16" spans="1:5" x14ac:dyDescent="0.25">
      <c r="A16" s="9"/>
      <c r="B16" s="10"/>
      <c r="C16" s="13"/>
      <c r="D16" s="13"/>
    </row>
    <row r="17" spans="1:7" x14ac:dyDescent="0.25">
      <c r="A17" s="11"/>
      <c r="B17" s="12"/>
      <c r="C17" s="16"/>
      <c r="D17" s="16"/>
    </row>
    <row r="19" spans="1:7" ht="30" x14ac:dyDescent="0.25">
      <c r="A19" s="14" t="s">
        <v>38</v>
      </c>
    </row>
    <row r="20" spans="1:7" ht="30" x14ac:dyDescent="0.25">
      <c r="A20" s="11" t="s">
        <v>44</v>
      </c>
      <c r="B20" s="12" t="s">
        <v>0</v>
      </c>
      <c r="C20" s="12" t="s">
        <v>28</v>
      </c>
      <c r="D20" s="12" t="s">
        <v>39</v>
      </c>
      <c r="E20" s="12" t="s">
        <v>40</v>
      </c>
      <c r="F20" s="20" t="s">
        <v>42</v>
      </c>
      <c r="G20" s="20" t="s">
        <v>41</v>
      </c>
    </row>
    <row r="21" spans="1:7" x14ac:dyDescent="0.25">
      <c r="A21" s="9"/>
      <c r="B21" s="19"/>
      <c r="C21" s="19"/>
      <c r="D21" s="15"/>
      <c r="E21" s="15"/>
      <c r="F21" s="18"/>
      <c r="G21" s="18"/>
    </row>
    <row r="22" spans="1:7" x14ac:dyDescent="0.25">
      <c r="A22" s="9"/>
      <c r="B22" s="19"/>
      <c r="C22" s="19"/>
      <c r="D22" s="15"/>
      <c r="E22" s="15"/>
      <c r="F22" s="18"/>
      <c r="G22" s="18"/>
    </row>
    <row r="23" spans="1:7" x14ac:dyDescent="0.25">
      <c r="A23" s="9"/>
      <c r="B23" s="19"/>
      <c r="C23" s="19"/>
      <c r="D23" s="15"/>
      <c r="E23" s="15"/>
      <c r="F23" s="18"/>
      <c r="G23" s="18"/>
    </row>
    <row r="24" spans="1:7" x14ac:dyDescent="0.25">
      <c r="A24" s="9"/>
      <c r="B24" s="19"/>
      <c r="C24" s="19"/>
      <c r="D24" s="15"/>
      <c r="E24" s="15"/>
      <c r="F24" s="18"/>
      <c r="G24" s="18"/>
    </row>
    <row r="25" spans="1:7" x14ac:dyDescent="0.25">
      <c r="A25" s="9"/>
      <c r="B25" s="19"/>
      <c r="C25" s="19"/>
      <c r="D25" s="15"/>
      <c r="E25" s="15"/>
      <c r="F25" s="18"/>
      <c r="G25" s="18"/>
    </row>
    <row r="26" spans="1:7" x14ac:dyDescent="0.25">
      <c r="A26" s="11"/>
      <c r="B26" s="12"/>
      <c r="C26" s="16"/>
      <c r="D26" s="17"/>
      <c r="E2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6"/>
  <sheetViews>
    <sheetView workbookViewId="0">
      <selection activeCell="A2" sqref="A2:G26"/>
    </sheetView>
  </sheetViews>
  <sheetFormatPr baseColWidth="10" defaultRowHeight="15" x14ac:dyDescent="0.25"/>
  <cols>
    <col min="1" max="1" width="34.42578125" customWidth="1"/>
    <col min="2" max="5" width="19.140625" customWidth="1"/>
    <col min="6" max="7" width="18.5703125" customWidth="1"/>
  </cols>
  <sheetData>
    <row r="2" spans="1:5" x14ac:dyDescent="0.25">
      <c r="A2" s="11" t="s">
        <v>27</v>
      </c>
      <c r="B2" s="12" t="s">
        <v>0</v>
      </c>
      <c r="C2" s="12" t="s">
        <v>28</v>
      </c>
      <c r="D2" s="12" t="s">
        <v>29</v>
      </c>
      <c r="E2" s="12" t="s">
        <v>30</v>
      </c>
    </row>
    <row r="3" spans="1:5" x14ac:dyDescent="0.25">
      <c r="A3" s="9" t="s">
        <v>31</v>
      </c>
      <c r="B3" s="10">
        <v>100</v>
      </c>
      <c r="C3" s="13">
        <v>1645</v>
      </c>
      <c r="D3" s="13">
        <f>C3/B3*1000</f>
        <v>16450</v>
      </c>
      <c r="E3" s="13">
        <v>800</v>
      </c>
    </row>
    <row r="4" spans="1:5" x14ac:dyDescent="0.25">
      <c r="A4" s="9" t="s">
        <v>32</v>
      </c>
      <c r="B4" s="10">
        <v>750</v>
      </c>
      <c r="C4" s="13">
        <v>5630</v>
      </c>
      <c r="D4" s="13">
        <f t="shared" ref="D4:D7" si="0">C4/B4*1000</f>
        <v>7506.666666666667</v>
      </c>
      <c r="E4" s="13">
        <v>10400</v>
      </c>
    </row>
    <row r="5" spans="1:5" x14ac:dyDescent="0.25">
      <c r="A5" s="9" t="s">
        <v>33</v>
      </c>
      <c r="B5" s="10">
        <v>350</v>
      </c>
      <c r="C5" s="13">
        <v>2125</v>
      </c>
      <c r="D5" s="13">
        <f t="shared" si="0"/>
        <v>6071.4285714285716</v>
      </c>
      <c r="E5" s="13">
        <v>1600</v>
      </c>
    </row>
    <row r="6" spans="1:5" x14ac:dyDescent="0.25">
      <c r="A6" s="9" t="s">
        <v>34</v>
      </c>
      <c r="B6" s="10">
        <v>105</v>
      </c>
      <c r="C6" s="13">
        <v>18200</v>
      </c>
      <c r="D6" s="13">
        <f t="shared" si="0"/>
        <v>173333.33333333334</v>
      </c>
      <c r="E6" s="13">
        <v>960</v>
      </c>
    </row>
    <row r="7" spans="1:5" x14ac:dyDescent="0.25">
      <c r="A7" s="9" t="s">
        <v>35</v>
      </c>
      <c r="B7" s="10">
        <v>195</v>
      </c>
      <c r="C7" s="13">
        <v>9400</v>
      </c>
      <c r="D7" s="13">
        <f t="shared" si="0"/>
        <v>48205.128205128203</v>
      </c>
      <c r="E7" s="13">
        <v>2240</v>
      </c>
    </row>
    <row r="8" spans="1:5" x14ac:dyDescent="0.25">
      <c r="A8" s="11" t="s">
        <v>36</v>
      </c>
      <c r="B8" s="12">
        <f>SUM(B3:B7)</f>
        <v>1500</v>
      </c>
      <c r="C8" s="16">
        <f>SUM(C3:C7)</f>
        <v>37000</v>
      </c>
      <c r="D8" s="16"/>
      <c r="E8" s="16">
        <f>SUM(E3:E7)</f>
        <v>16000</v>
      </c>
    </row>
    <row r="10" spans="1:5" x14ac:dyDescent="0.25">
      <c r="A10" s="14" t="s">
        <v>37</v>
      </c>
    </row>
    <row r="11" spans="1:5" x14ac:dyDescent="0.25">
      <c r="A11" s="11" t="s">
        <v>27</v>
      </c>
      <c r="B11" s="12" t="s">
        <v>0</v>
      </c>
      <c r="C11" s="12" t="s">
        <v>28</v>
      </c>
      <c r="D11" s="12" t="s">
        <v>29</v>
      </c>
    </row>
    <row r="12" spans="1:5" x14ac:dyDescent="0.25">
      <c r="A12" s="9" t="s">
        <v>34</v>
      </c>
      <c r="B12" s="10">
        <v>105</v>
      </c>
      <c r="C12" s="13">
        <v>18200</v>
      </c>
      <c r="D12" s="13">
        <f>C12/B12*1000</f>
        <v>173333.33333333334</v>
      </c>
    </row>
    <row r="13" spans="1:5" x14ac:dyDescent="0.25">
      <c r="A13" s="9" t="s">
        <v>35</v>
      </c>
      <c r="B13" s="10">
        <v>195</v>
      </c>
      <c r="C13" s="13">
        <v>9400</v>
      </c>
      <c r="D13" s="13">
        <f>C13/B13*1000</f>
        <v>48205.128205128203</v>
      </c>
    </row>
    <row r="14" spans="1:5" x14ac:dyDescent="0.25">
      <c r="A14" s="9" t="s">
        <v>31</v>
      </c>
      <c r="B14" s="10">
        <v>100</v>
      </c>
      <c r="C14" s="13">
        <v>1645</v>
      </c>
      <c r="D14" s="13">
        <f>C14/B14*1000</f>
        <v>16450</v>
      </c>
    </row>
    <row r="15" spans="1:5" x14ac:dyDescent="0.25">
      <c r="A15" s="9" t="s">
        <v>32</v>
      </c>
      <c r="B15" s="10">
        <v>750</v>
      </c>
      <c r="C15" s="13">
        <v>5630</v>
      </c>
      <c r="D15" s="13">
        <f>C15/B15*1000</f>
        <v>7506.666666666667</v>
      </c>
    </row>
    <row r="16" spans="1:5" x14ac:dyDescent="0.25">
      <c r="A16" s="9" t="s">
        <v>33</v>
      </c>
      <c r="B16" s="10">
        <v>350</v>
      </c>
      <c r="C16" s="13">
        <v>2125</v>
      </c>
      <c r="D16" s="13">
        <f>C16/B16*1000</f>
        <v>6071.4285714285716</v>
      </c>
    </row>
    <row r="17" spans="1:7" x14ac:dyDescent="0.25">
      <c r="A17" s="11" t="s">
        <v>36</v>
      </c>
      <c r="B17" s="12">
        <f>SUM(B12:B16)</f>
        <v>1500</v>
      </c>
      <c r="C17" s="16">
        <f>SUM(C12:C16)</f>
        <v>37000</v>
      </c>
      <c r="D17" s="16"/>
    </row>
    <row r="19" spans="1:7" x14ac:dyDescent="0.25">
      <c r="A19" s="14" t="s">
        <v>38</v>
      </c>
    </row>
    <row r="20" spans="1:7" x14ac:dyDescent="0.25">
      <c r="A20" s="11" t="s">
        <v>27</v>
      </c>
      <c r="B20" s="12" t="s">
        <v>0</v>
      </c>
      <c r="C20" s="12" t="s">
        <v>28</v>
      </c>
      <c r="D20" s="12" t="s">
        <v>39</v>
      </c>
      <c r="E20" s="12" t="s">
        <v>40</v>
      </c>
      <c r="F20" s="20" t="s">
        <v>42</v>
      </c>
      <c r="G20" s="20" t="s">
        <v>41</v>
      </c>
    </row>
    <row r="21" spans="1:7" x14ac:dyDescent="0.25">
      <c r="A21" s="9" t="str">
        <f>A12</f>
        <v>Centrales d'achat</v>
      </c>
      <c r="B21" s="19">
        <f t="shared" ref="B21:C21" si="1">B12</f>
        <v>105</v>
      </c>
      <c r="C21" s="19">
        <f t="shared" si="1"/>
        <v>18200</v>
      </c>
      <c r="D21" s="15">
        <f>B21/B$26</f>
        <v>7.0000000000000007E-2</v>
      </c>
      <c r="E21" s="15">
        <f>C21/C$26</f>
        <v>0.49189189189189192</v>
      </c>
      <c r="F21" s="18">
        <f>D21</f>
        <v>7.0000000000000007E-2</v>
      </c>
      <c r="G21" s="18">
        <f>E21</f>
        <v>0.49189189189189192</v>
      </c>
    </row>
    <row r="22" spans="1:7" x14ac:dyDescent="0.25">
      <c r="A22" s="9" t="str">
        <f t="shared" ref="A22:C22" si="2">A13</f>
        <v>Gros indépendants</v>
      </c>
      <c r="B22" s="19">
        <f t="shared" si="2"/>
        <v>195</v>
      </c>
      <c r="C22" s="19">
        <f t="shared" si="2"/>
        <v>9400</v>
      </c>
      <c r="D22" s="15">
        <f t="shared" ref="D22:D25" si="3">B22/B$26</f>
        <v>0.13</v>
      </c>
      <c r="E22" s="15">
        <f t="shared" ref="E22:E25" si="4">C22/C$26</f>
        <v>0.25405405405405407</v>
      </c>
      <c r="F22" s="18">
        <f>F21+D22</f>
        <v>0.2</v>
      </c>
      <c r="G22" s="18">
        <f>G21+E22</f>
        <v>0.74594594594594599</v>
      </c>
    </row>
    <row r="23" spans="1:7" x14ac:dyDescent="0.25">
      <c r="A23" s="9" t="str">
        <f t="shared" ref="A23:C23" si="5">A14</f>
        <v>Coopératives</v>
      </c>
      <c r="B23" s="19">
        <f t="shared" si="5"/>
        <v>100</v>
      </c>
      <c r="C23" s="19">
        <f t="shared" si="5"/>
        <v>1645</v>
      </c>
      <c r="D23" s="15">
        <f t="shared" si="3"/>
        <v>6.6666666666666666E-2</v>
      </c>
      <c r="E23" s="15">
        <f t="shared" si="4"/>
        <v>4.4459459459459456E-2</v>
      </c>
      <c r="F23" s="18">
        <f t="shared" ref="F23:G25" si="6">F22+D23</f>
        <v>0.26666666666666666</v>
      </c>
      <c r="G23" s="18">
        <f t="shared" si="6"/>
        <v>0.79040540540540549</v>
      </c>
    </row>
    <row r="24" spans="1:7" x14ac:dyDescent="0.25">
      <c r="A24" s="9" t="str">
        <f t="shared" ref="A24:C24" si="7">A15</f>
        <v>Petits détaillants</v>
      </c>
      <c r="B24" s="19">
        <f t="shared" si="7"/>
        <v>750</v>
      </c>
      <c r="C24" s="19">
        <f t="shared" si="7"/>
        <v>5630</v>
      </c>
      <c r="D24" s="15">
        <f t="shared" si="3"/>
        <v>0.5</v>
      </c>
      <c r="E24" s="15">
        <f t="shared" si="4"/>
        <v>0.15216216216216216</v>
      </c>
      <c r="F24" s="18">
        <f t="shared" si="6"/>
        <v>0.76666666666666661</v>
      </c>
      <c r="G24" s="18">
        <f t="shared" si="6"/>
        <v>0.94256756756756765</v>
      </c>
    </row>
    <row r="25" spans="1:7" x14ac:dyDescent="0.25">
      <c r="A25" s="9" t="str">
        <f t="shared" ref="A25:C25" si="8">A16</f>
        <v>Forains</v>
      </c>
      <c r="B25" s="19">
        <f t="shared" si="8"/>
        <v>350</v>
      </c>
      <c r="C25" s="19">
        <f t="shared" si="8"/>
        <v>2125</v>
      </c>
      <c r="D25" s="15">
        <f t="shared" si="3"/>
        <v>0.23333333333333334</v>
      </c>
      <c r="E25" s="15">
        <f t="shared" si="4"/>
        <v>5.7432432432432436E-2</v>
      </c>
      <c r="F25" s="18">
        <f t="shared" si="6"/>
        <v>1</v>
      </c>
      <c r="G25" s="18">
        <f t="shared" si="6"/>
        <v>1</v>
      </c>
    </row>
    <row r="26" spans="1:7" x14ac:dyDescent="0.25">
      <c r="A26" s="11" t="s">
        <v>36</v>
      </c>
      <c r="B26" s="12">
        <f>SUM(B21:B25)</f>
        <v>1500</v>
      </c>
      <c r="C26" s="16">
        <f>SUM(C21:C25)</f>
        <v>37000</v>
      </c>
      <c r="D26" s="17">
        <f>SUM(D21:D25)</f>
        <v>1</v>
      </c>
      <c r="E26" s="17">
        <f>SUM(E21:E25)</f>
        <v>1</v>
      </c>
    </row>
  </sheetData>
  <sortState xmlns:xlrd2="http://schemas.microsoft.com/office/spreadsheetml/2017/richdata2" ref="A12:E16">
    <sortCondition descending="1" ref="D12:D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8"/>
  <sheetViews>
    <sheetView workbookViewId="0">
      <selection activeCell="D15" sqref="D15"/>
    </sheetView>
  </sheetViews>
  <sheetFormatPr baseColWidth="10" defaultRowHeight="15" x14ac:dyDescent="0.25"/>
  <cols>
    <col min="1" max="1" width="18.7109375" customWidth="1"/>
  </cols>
  <sheetData>
    <row r="2" spans="1:3" x14ac:dyDescent="0.25">
      <c r="A2" s="8" t="s">
        <v>27</v>
      </c>
      <c r="B2" s="8" t="s">
        <v>40</v>
      </c>
      <c r="C2" s="8" t="s">
        <v>43</v>
      </c>
    </row>
    <row r="3" spans="1:3" x14ac:dyDescent="0.25">
      <c r="A3" s="21"/>
      <c r="B3" s="22"/>
      <c r="C3" s="24"/>
    </row>
    <row r="4" spans="1:3" x14ac:dyDescent="0.25">
      <c r="A4" s="21"/>
      <c r="B4" s="23"/>
      <c r="C4" s="24"/>
    </row>
    <row r="5" spans="1:3" x14ac:dyDescent="0.25">
      <c r="A5" s="21"/>
      <c r="B5" s="23"/>
      <c r="C5" s="24"/>
    </row>
    <row r="6" spans="1:3" x14ac:dyDescent="0.25">
      <c r="A6" s="21"/>
      <c r="B6" s="23"/>
      <c r="C6" s="24"/>
    </row>
    <row r="7" spans="1:3" x14ac:dyDescent="0.25">
      <c r="A7" s="21"/>
      <c r="B7" s="23"/>
      <c r="C7" s="24"/>
    </row>
    <row r="8" spans="1:3" x14ac:dyDescent="0.25">
      <c r="A8" s="25"/>
      <c r="B8" s="26"/>
      <c r="C8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8"/>
  <sheetViews>
    <sheetView workbookViewId="0">
      <selection activeCell="A2" sqref="A2:C8"/>
    </sheetView>
  </sheetViews>
  <sheetFormatPr baseColWidth="10" defaultRowHeight="15" x14ac:dyDescent="0.25"/>
  <cols>
    <col min="1" max="1" width="34.42578125" customWidth="1"/>
    <col min="3" max="3" width="11.85546875" bestFit="1" customWidth="1"/>
  </cols>
  <sheetData>
    <row r="2" spans="1:3" x14ac:dyDescent="0.25">
      <c r="A2" s="8" t="s">
        <v>27</v>
      </c>
      <c r="B2" s="8" t="s">
        <v>40</v>
      </c>
      <c r="C2" s="8" t="s">
        <v>43</v>
      </c>
    </row>
    <row r="3" spans="1:3" x14ac:dyDescent="0.25">
      <c r="A3" s="21" t="s">
        <v>34</v>
      </c>
      <c r="B3" s="22">
        <v>0.49</v>
      </c>
      <c r="C3" s="24">
        <f>C$8*B3</f>
        <v>7840</v>
      </c>
    </row>
    <row r="4" spans="1:3" x14ac:dyDescent="0.25">
      <c r="A4" s="21" t="s">
        <v>35</v>
      </c>
      <c r="B4" s="23">
        <v>0.25</v>
      </c>
      <c r="C4" s="24">
        <f t="shared" ref="C4:C7" si="0">C$8*B4</f>
        <v>4000</v>
      </c>
    </row>
    <row r="5" spans="1:3" x14ac:dyDescent="0.25">
      <c r="A5" s="21" t="s">
        <v>31</v>
      </c>
      <c r="B5" s="23">
        <v>0.04</v>
      </c>
      <c r="C5" s="24">
        <f t="shared" si="0"/>
        <v>640</v>
      </c>
    </row>
    <row r="6" spans="1:3" x14ac:dyDescent="0.25">
      <c r="A6" s="21" t="s">
        <v>32</v>
      </c>
      <c r="B6" s="23">
        <v>0.15</v>
      </c>
      <c r="C6" s="24">
        <f t="shared" si="0"/>
        <v>2400</v>
      </c>
    </row>
    <row r="7" spans="1:3" x14ac:dyDescent="0.25">
      <c r="A7" s="21" t="s">
        <v>33</v>
      </c>
      <c r="B7" s="23">
        <v>0.06</v>
      </c>
      <c r="C7" s="24">
        <f t="shared" si="0"/>
        <v>960</v>
      </c>
    </row>
    <row r="8" spans="1:3" x14ac:dyDescent="0.25">
      <c r="A8" s="25" t="s">
        <v>36</v>
      </c>
      <c r="B8" s="26">
        <v>1</v>
      </c>
      <c r="C8" s="27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Exercice2_Consigne1</vt:lpstr>
      <vt:lpstr>Exercice2_Consigne1_corrigé</vt:lpstr>
      <vt:lpstr>Exercice3_Consigne1</vt:lpstr>
      <vt:lpstr>Exercice3_Consigne1_corrigé</vt:lpstr>
      <vt:lpstr>Exercice3_Consigne2</vt:lpstr>
      <vt:lpstr>Exercice3_Consigne2_corrigé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SARAIVA-LAFON AURELIE</cp:lastModifiedBy>
  <dcterms:created xsi:type="dcterms:W3CDTF">2018-04-27T15:06:42Z</dcterms:created>
  <dcterms:modified xsi:type="dcterms:W3CDTF">2022-06-13T15:47:59Z</dcterms:modified>
</cp:coreProperties>
</file>