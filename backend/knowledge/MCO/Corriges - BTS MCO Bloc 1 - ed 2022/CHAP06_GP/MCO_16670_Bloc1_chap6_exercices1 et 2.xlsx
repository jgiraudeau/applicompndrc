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charts/chart2.xml" ContentType="application/vnd.openxmlformats-officedocument.drawingml.chart+xml"/>
  <Override PartName="/xl/calcChain.xml" ContentType="application/vnd.openxmlformats-officedocument.spreadsheetml.calcChain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4326"/>
  <workbookPr defaultThemeVersion="124226"/>
  <mc:AlternateContent xmlns:mc="http://schemas.openxmlformats.org/markup-compatibility/2006">
    <mc:Choice Requires="x15">
      <x15ac:absPath xmlns:x15ac="http://schemas.microsoft.com/office/spreadsheetml/2010/11/ac" url="https://hachette-my.sharepoint.com/personal/asaraivalafon_editions-foucher_fr/Documents/Desktop/MCO BLOC 1/CHAP06_GP/"/>
    </mc:Choice>
  </mc:AlternateContent>
  <xr:revisionPtr revIDLastSave="12" documentId="13_ncr:1_{E8A8C824-E7B3-47F3-BDD2-FD58725E1FA6}" xr6:coauthVersionLast="47" xr6:coauthVersionMax="47" xr10:uidLastSave="{0A90158A-6CFF-4A42-9E91-F0178ABF01B5}"/>
  <bookViews>
    <workbookView xWindow="-120" yWindow="-120" windowWidth="25440" windowHeight="15390" activeTab="2" xr2:uid="{00000000-000D-0000-FFFF-FFFF00000000}"/>
  </bookViews>
  <sheets>
    <sheet name="exercice 1" sheetId="2" r:id="rId1"/>
    <sheet name="exercice 1 calcul de coût " sheetId="3" r:id="rId2"/>
    <sheet name="exercice 2 " sheetId="1" r:id="rId3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calcChain.xml><?xml version="1.0" encoding="utf-8"?>
<calcChain xmlns="http://schemas.openxmlformats.org/spreadsheetml/2006/main">
  <c r="C6" i="3" l="1"/>
  <c r="C9" i="3"/>
  <c r="C7" i="3"/>
  <c r="C5" i="3"/>
  <c r="C11" i="2"/>
  <c r="C12" i="2" s="1"/>
  <c r="D11" i="2"/>
  <c r="D12" i="2" s="1"/>
  <c r="B11" i="2"/>
  <c r="B12" i="2" s="1"/>
  <c r="C5" i="1"/>
  <c r="C4" i="1"/>
  <c r="C9" i="1"/>
  <c r="C10" i="1"/>
  <c r="C11" i="1"/>
  <c r="C12" i="1"/>
  <c r="C13" i="1"/>
  <c r="C14" i="1"/>
  <c r="C8" i="1"/>
  <c r="C15" i="1" s="1"/>
  <c r="B15" i="1"/>
  <c r="E12" i="2" l="1"/>
  <c r="C11" i="3"/>
</calcChain>
</file>

<file path=xl/sharedStrings.xml><?xml version="1.0" encoding="utf-8"?>
<sst xmlns="http://schemas.openxmlformats.org/spreadsheetml/2006/main" count="38" uniqueCount="38">
  <si>
    <t xml:space="preserve">Particuliers </t>
  </si>
  <si>
    <t xml:space="preserve">Professionnels </t>
  </si>
  <si>
    <t xml:space="preserve">Nombre de clients </t>
  </si>
  <si>
    <t xml:space="preserve">Clients particuliers selon l'âge </t>
  </si>
  <si>
    <t>+70</t>
  </si>
  <si>
    <t>10h – 18h</t>
  </si>
  <si>
    <t xml:space="preserve">Lundi </t>
  </si>
  <si>
    <t xml:space="preserve">Mardi </t>
  </si>
  <si>
    <t xml:space="preserve">Mercredi </t>
  </si>
  <si>
    <t xml:space="preserve">Jeudi </t>
  </si>
  <si>
    <t xml:space="preserve">Vendredi </t>
  </si>
  <si>
    <t xml:space="preserve">Samedi </t>
  </si>
  <si>
    <t xml:space="preserve">Nombre d'enquêteurs à prévoir </t>
  </si>
  <si>
    <t>9h – 12h</t>
  </si>
  <si>
    <t>13h – 17h</t>
  </si>
  <si>
    <t xml:space="preserve">Nbre à interroger </t>
  </si>
  <si>
    <t xml:space="preserve">Charges </t>
  </si>
  <si>
    <t>Calculs</t>
  </si>
  <si>
    <t xml:space="preserve">Montant </t>
  </si>
  <si>
    <t>Rémunération enquêteurs</t>
  </si>
  <si>
    <t>Nbre enquêteurs</t>
  </si>
  <si>
    <t xml:space="preserve">Nbre heures </t>
  </si>
  <si>
    <t>87*16,52</t>
  </si>
  <si>
    <t xml:space="preserve">Frais de déplacement </t>
  </si>
  <si>
    <t xml:space="preserve">Frais de repas </t>
  </si>
  <si>
    <t>3*10</t>
  </si>
  <si>
    <t xml:space="preserve">Frais de conception questionnaire </t>
  </si>
  <si>
    <t>Frais d'impression questionnaires</t>
  </si>
  <si>
    <t>0,8*450</t>
  </si>
  <si>
    <t xml:space="preserve">Frais divers </t>
  </si>
  <si>
    <t xml:space="preserve">Budget total </t>
  </si>
  <si>
    <t>2*10 + 11*15</t>
  </si>
  <si>
    <t>18-25</t>
  </si>
  <si>
    <t>26-30</t>
  </si>
  <si>
    <t>31-40</t>
  </si>
  <si>
    <t>41-50</t>
  </si>
  <si>
    <t>51-60</t>
  </si>
  <si>
    <t>61-70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</si>
</sst>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8">
    <border>
      <left/>
      <right/>
      <top/>
      <bottom/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/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 style="medium">
        <color indexed="64"/>
      </right>
      <top/>
      <bottom style="medium">
        <color indexed="64"/>
      </bottom>
      <diagonal/>
    </border>
    <border>
      <left/>
      <right style="medium">
        <color indexed="64"/>
      </right>
      <top/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medium">
        <color indexed="64"/>
      </right>
      <top/>
      <bottom/>
      <diagonal/>
    </border>
    <border>
      <left/>
      <right style="medium">
        <color indexed="64"/>
      </right>
      <top/>
      <bottom/>
      <diagonal/>
    </border>
  </borders>
  <cellStyleXfs count="2">
    <xf numFmtId="0" fontId="0" fillId="0" borderId="0"/>
    <xf numFmtId="9" fontId="1" fillId="0" borderId="0" applyFont="0" applyFill="0" applyBorder="0" applyAlignment="0" applyProtection="0"/>
  </cellStyleXfs>
  <cellXfs count="22">
    <xf numFmtId="0" fontId="0" fillId="0" borderId="0" xfId="0"/>
    <xf numFmtId="9" fontId="0" fillId="0" borderId="0" xfId="1" applyFont="1"/>
    <xf numFmtId="0" fontId="0" fillId="0" borderId="1" xfId="0" applyBorder="1" applyAlignment="1">
      <alignment vertical="top" wrapText="1"/>
    </xf>
    <xf numFmtId="0" fontId="2" fillId="0" borderId="2" xfId="0" applyFont="1" applyBorder="1" applyAlignment="1">
      <alignment horizontal="center" vertical="top" wrapText="1"/>
    </xf>
    <xf numFmtId="0" fontId="2" fillId="0" borderId="3" xfId="0" applyFont="1" applyBorder="1" applyAlignment="1">
      <alignment vertical="top" wrapText="1"/>
    </xf>
    <xf numFmtId="0" fontId="0" fillId="0" borderId="4" xfId="0" applyBorder="1" applyAlignment="1">
      <alignment horizontal="center" vertical="top" wrapText="1"/>
    </xf>
    <xf numFmtId="0" fontId="2" fillId="0" borderId="0" xfId="0" applyFont="1"/>
    <xf numFmtId="1" fontId="0" fillId="0" borderId="0" xfId="0" applyNumberFormat="1"/>
    <xf numFmtId="0" fontId="0" fillId="0" borderId="5" xfId="0" applyBorder="1"/>
    <xf numFmtId="0" fontId="0" fillId="0" borderId="5" xfId="0" applyBorder="1" applyAlignment="1">
      <alignment horizontal="center"/>
    </xf>
    <xf numFmtId="9" fontId="0" fillId="0" borderId="5" xfId="1" applyFont="1" applyBorder="1" applyAlignment="1">
      <alignment horizontal="center"/>
    </xf>
    <xf numFmtId="1" fontId="0" fillId="0" borderId="5" xfId="0" applyNumberFormat="1" applyBorder="1" applyAlignment="1">
      <alignment horizontal="center"/>
    </xf>
    <xf numFmtId="0" fontId="0" fillId="0" borderId="5" xfId="0" quotePrefix="1" applyBorder="1" applyAlignment="1">
      <alignment horizontal="center"/>
    </xf>
    <xf numFmtId="0" fontId="2" fillId="0" borderId="6" xfId="0" applyFont="1" applyBorder="1" applyAlignment="1">
      <alignment vertical="top" wrapText="1"/>
    </xf>
    <xf numFmtId="0" fontId="0" fillId="0" borderId="7" xfId="0" applyBorder="1" applyAlignment="1">
      <alignment horizontal="center" vertical="top" wrapText="1"/>
    </xf>
    <xf numFmtId="0" fontId="2" fillId="0" borderId="5" xfId="0" applyFont="1" applyFill="1" applyBorder="1" applyAlignment="1">
      <alignment vertical="top" wrapText="1"/>
    </xf>
    <xf numFmtId="0" fontId="0" fillId="0" borderId="5" xfId="0" quotePrefix="1" applyBorder="1" applyAlignment="1">
      <alignment horizontal="left"/>
    </xf>
    <xf numFmtId="2" fontId="0" fillId="0" borderId="5" xfId="0" quotePrefix="1" applyNumberFormat="1" applyBorder="1"/>
    <xf numFmtId="0" fontId="0" fillId="0" borderId="5" xfId="0" applyBorder="1" applyAlignment="1">
      <alignment horizontal="left"/>
    </xf>
    <xf numFmtId="2" fontId="0" fillId="0" borderId="5" xfId="0" applyNumberFormat="1" applyBorder="1"/>
    <xf numFmtId="0" fontId="2" fillId="0" borderId="5" xfId="0" applyFont="1" applyBorder="1"/>
    <xf numFmtId="2" fontId="2" fillId="0" borderId="5" xfId="0" applyNumberFormat="1" applyFont="1" applyBorder="1"/>
  </cellXfs>
  <cellStyles count="2">
    <cellStyle name="Normal" xfId="0" builtinId="0"/>
    <cellStyle name="Pourcentage" xfId="1" builtinId="5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ustomXml" Target="../customXml/item1.xml"/><Relationship Id="rId3" Type="http://schemas.openxmlformats.org/officeDocument/2006/relationships/worksheet" Target="worksheets/sheet3.xml"/><Relationship Id="rId7" Type="http://schemas.openxmlformats.org/officeDocument/2006/relationships/calcChain" Target="calcChain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10" Type="http://schemas.openxmlformats.org/officeDocument/2006/relationships/customXml" Target="../customXml/item3.xml"/><Relationship Id="rId4" Type="http://schemas.openxmlformats.org/officeDocument/2006/relationships/theme" Target="theme/theme1.xml"/><Relationship Id="rId9" Type="http://schemas.openxmlformats.org/officeDocument/2006/relationships/customXml" Target="../customXml/item2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fr-FR"/>
  <c:roundedCorners val="0"/>
  <mc:AlternateContent xmlns:mc="http://schemas.openxmlformats.org/markup-compatibility/2006">
    <mc:Choice xmlns:c14="http://schemas.microsoft.com/office/drawing/2007/8/2/chart" Requires="c14">
      <c14:style val="115"/>
    </mc:Choice>
    <mc:Fallback>
      <c:style val="15"/>
    </mc:Fallback>
  </mc:AlternateContent>
  <c:chart>
    <c:title>
      <c:tx>
        <c:rich>
          <a:bodyPr/>
          <a:lstStyle/>
          <a:p>
            <a:pPr>
              <a:defRPr/>
            </a:pPr>
            <a:r>
              <a:rPr lang="en-US"/>
              <a:t>Catégories  de clients </a:t>
            </a:r>
          </a:p>
        </c:rich>
      </c:tx>
      <c:overlay val="0"/>
    </c:title>
    <c:autoTitleDeleted val="0"/>
    <c:plotArea>
      <c:layout/>
      <c:pieChart>
        <c:varyColors val="1"/>
        <c:ser>
          <c:idx val="0"/>
          <c:order val="0"/>
          <c:dLbls>
            <c:spPr>
              <a:noFill/>
              <a:ln>
                <a:noFill/>
              </a:ln>
              <a:effectLst/>
            </c:spPr>
            <c:showLegendKey val="0"/>
            <c:showVal val="0"/>
            <c:showCatName val="1"/>
            <c:showSerName val="0"/>
            <c:showPercent val="1"/>
            <c:showBubbleSize val="0"/>
            <c:showLeaderLines val="1"/>
            <c:extLst>
              <c:ext xmlns:c15="http://schemas.microsoft.com/office/drawing/2012/chart" uri="{CE6537A1-D6FC-4f65-9D91-7224C49458BB}"/>
            </c:extLst>
          </c:dLbls>
          <c:cat>
            <c:strRef>
              <c:f>'exercice 2 '!$A$4:$A$5</c:f>
              <c:strCache>
                <c:ptCount val="2"/>
                <c:pt idx="0">
                  <c:v>Particuliers </c:v>
                </c:pt>
                <c:pt idx="1">
                  <c:v>Professionnels </c:v>
                </c:pt>
              </c:strCache>
            </c:strRef>
          </c:cat>
          <c:val>
            <c:numRef>
              <c:f>'exercice 2 '!$B$4:$B$5</c:f>
              <c:numCache>
                <c:formatCode>0%</c:formatCode>
                <c:ptCount val="2"/>
                <c:pt idx="0">
                  <c:v>0.78</c:v>
                </c:pt>
                <c:pt idx="1">
                  <c:v>0.22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E9CE-43AE-A7AD-ECDBB43F5A59}"/>
            </c:ext>
          </c:extLst>
        </c:ser>
        <c:dLbls>
          <c:showLegendKey val="0"/>
          <c:showVal val="0"/>
          <c:showCatName val="1"/>
          <c:showSerName val="0"/>
          <c:showPercent val="1"/>
          <c:showBubbleSize val="0"/>
          <c:showLeaderLines val="1"/>
        </c:dLbls>
        <c:firstSliceAng val="0"/>
      </c:pieChart>
    </c:plotArea>
    <c:plotVisOnly val="1"/>
    <c:dispBlanksAs val="gap"/>
    <c:showDLblsOverMax val="0"/>
  </c:chart>
  <c:printSettings>
    <c:headerFooter/>
    <c:pageMargins b="0.75" l="0.7" r="0.7" t="0.75" header="0.3" footer="0.3"/>
    <c:pageSetup/>
  </c:printSettings>
</c:chartSpace>
</file>

<file path=xl/charts/chart2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fr-FR"/>
  <c:roundedCorners val="0"/>
  <mc:AlternateContent xmlns:mc="http://schemas.openxmlformats.org/markup-compatibility/2006">
    <mc:Choice xmlns:c14="http://schemas.microsoft.com/office/drawing/2007/8/2/chart" Requires="c14">
      <c14:style val="134"/>
    </mc:Choice>
    <mc:Fallback>
      <c:style val="34"/>
    </mc:Fallback>
  </mc:AlternateContent>
  <c:chart>
    <c:title>
      <c:tx>
        <c:rich>
          <a:bodyPr/>
          <a:lstStyle/>
          <a:p>
            <a:pPr>
              <a:defRPr/>
            </a:pPr>
            <a:r>
              <a:rPr lang="fr-FR"/>
              <a:t>Les particuliers selon l'âge</a:t>
            </a:r>
          </a:p>
        </c:rich>
      </c:tx>
      <c:layout>
        <c:manualLayout>
          <c:xMode val="edge"/>
          <c:yMode val="edge"/>
          <c:x val="1.8034776902887135E-2"/>
          <c:y val="1.3888888888888888E-2"/>
        </c:manualLayout>
      </c:layout>
      <c:overlay val="0"/>
    </c:title>
    <c:autoTitleDeleted val="0"/>
    <c:plotArea>
      <c:layout/>
      <c:pieChart>
        <c:varyColors val="1"/>
        <c:ser>
          <c:idx val="0"/>
          <c:order val="0"/>
          <c:dLbls>
            <c:spPr>
              <a:noFill/>
              <a:ln>
                <a:noFill/>
              </a:ln>
              <a:effectLst/>
            </c:spPr>
            <c:showLegendKey val="0"/>
            <c:showVal val="0"/>
            <c:showCatName val="1"/>
            <c:showSerName val="0"/>
            <c:showPercent val="1"/>
            <c:showBubbleSize val="0"/>
            <c:showLeaderLines val="1"/>
            <c:extLst>
              <c:ext xmlns:c15="http://schemas.microsoft.com/office/drawing/2012/chart" uri="{CE6537A1-D6FC-4f65-9D91-7224C49458BB}"/>
            </c:extLst>
          </c:dLbls>
          <c:cat>
            <c:strRef>
              <c:f>'exercice 2 '!$A$8:$A$14</c:f>
              <c:strCache>
                <c:ptCount val="7"/>
                <c:pt idx="0">
                  <c:v>18-25</c:v>
                </c:pt>
                <c:pt idx="1">
                  <c:v>26-30</c:v>
                </c:pt>
                <c:pt idx="2">
                  <c:v>31-40</c:v>
                </c:pt>
                <c:pt idx="3">
                  <c:v>41-50</c:v>
                </c:pt>
                <c:pt idx="4">
                  <c:v>51-60</c:v>
                </c:pt>
                <c:pt idx="5">
                  <c:v>61-70</c:v>
                </c:pt>
                <c:pt idx="6">
                  <c:v>+70</c:v>
                </c:pt>
              </c:strCache>
            </c:strRef>
          </c:cat>
          <c:val>
            <c:numRef>
              <c:f>'exercice 2 '!$B$8:$B$14</c:f>
              <c:numCache>
                <c:formatCode>0%</c:formatCode>
                <c:ptCount val="7"/>
                <c:pt idx="0">
                  <c:v>0.02</c:v>
                </c:pt>
                <c:pt idx="1">
                  <c:v>0.06</c:v>
                </c:pt>
                <c:pt idx="2">
                  <c:v>0.11</c:v>
                </c:pt>
                <c:pt idx="3">
                  <c:v>0.26</c:v>
                </c:pt>
                <c:pt idx="4">
                  <c:v>0.25</c:v>
                </c:pt>
                <c:pt idx="5">
                  <c:v>0.22</c:v>
                </c:pt>
                <c:pt idx="6">
                  <c:v>0.08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9674-46FA-A058-2556A0B51330}"/>
            </c:ext>
          </c:extLst>
        </c:ser>
        <c:dLbls>
          <c:showLegendKey val="0"/>
          <c:showVal val="0"/>
          <c:showCatName val="1"/>
          <c:showSerName val="0"/>
          <c:showPercent val="1"/>
          <c:showBubbleSize val="0"/>
          <c:showLeaderLines val="1"/>
        </c:dLbls>
        <c:firstSliceAng val="0"/>
      </c:pieChart>
    </c:plotArea>
    <c:plotVisOnly val="1"/>
    <c:dispBlanksAs val="gap"/>
    <c:showDLblsOverMax val="0"/>
  </c:chart>
  <c:printSettings>
    <c:headerFooter/>
    <c:pageMargins b="0.75" l="0.7" r="0.7" t="0.75" header="0.3" footer="0.3"/>
    <c:pageSetup/>
  </c:printSettings>
</c:chartSpace>
</file>

<file path=xl/drawings/_rels/drawing1.xml.rels><?xml version="1.0" encoding="UTF-8" standalone="yes"?>
<Relationships xmlns="http://schemas.openxmlformats.org/package/2006/relationships"><Relationship Id="rId2" Type="http://schemas.openxmlformats.org/officeDocument/2006/relationships/chart" Target="../charts/chart2.xml"/><Relationship Id="rId1" Type="http://schemas.openxmlformats.org/officeDocument/2006/relationships/chart" Target="../charts/chart1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4</xdr:col>
      <xdr:colOff>714375</xdr:colOff>
      <xdr:row>1</xdr:row>
      <xdr:rowOff>28575</xdr:rowOff>
    </xdr:from>
    <xdr:to>
      <xdr:col>10</xdr:col>
      <xdr:colOff>714375</xdr:colOff>
      <xdr:row>15</xdr:row>
      <xdr:rowOff>104775</xdr:rowOff>
    </xdr:to>
    <xdr:graphicFrame macro="">
      <xdr:nvGraphicFramePr>
        <xdr:cNvPr id="2" name="Graphique 1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>
    <xdr:from>
      <xdr:col>0</xdr:col>
      <xdr:colOff>152400</xdr:colOff>
      <xdr:row>18</xdr:row>
      <xdr:rowOff>19050</xdr:rowOff>
    </xdr:from>
    <xdr:to>
      <xdr:col>5</xdr:col>
      <xdr:colOff>600075</xdr:colOff>
      <xdr:row>32</xdr:row>
      <xdr:rowOff>95250</xdr:rowOff>
    </xdr:to>
    <xdr:graphicFrame macro="">
      <xdr:nvGraphicFramePr>
        <xdr:cNvPr id="3" name="Graphique 2">
          <a:extLst>
            <a:ext uri="{FF2B5EF4-FFF2-40B4-BE49-F238E27FC236}">
              <a16:creationId xmlns:a16="http://schemas.microsoft.com/office/drawing/2014/main" id="{00000000-0008-0000-0000-000003000000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</xdr:wsDr>
</file>

<file path=xl/theme/theme1.xml><?xml version="1.0" encoding="utf-8"?>
<a:theme xmlns:a="http://schemas.openxmlformats.org/drawingml/2006/main" name="Thème Offic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2:E12"/>
  <sheetViews>
    <sheetView workbookViewId="0">
      <selection activeCell="E12" sqref="E12"/>
    </sheetView>
  </sheetViews>
  <sheetFormatPr baseColWidth="10" defaultRowHeight="15" x14ac:dyDescent="0.25"/>
  <cols>
    <col min="1" max="1" width="16" customWidth="1"/>
    <col min="2" max="2" width="14.85546875" customWidth="1"/>
    <col min="3" max="3" width="14.7109375" customWidth="1"/>
    <col min="4" max="4" width="17.7109375" customWidth="1"/>
  </cols>
  <sheetData>
    <row r="2" spans="1:5" ht="38.25" customHeight="1" x14ac:dyDescent="0.25"/>
    <row r="3" spans="1:5" ht="16.5" customHeight="1" thickBot="1" x14ac:dyDescent="0.3">
      <c r="A3" s="6" t="s">
        <v>12</v>
      </c>
    </row>
    <row r="4" spans="1:5" ht="16.5" customHeight="1" thickBot="1" x14ac:dyDescent="0.3">
      <c r="A4" s="2"/>
      <c r="B4" s="3" t="s">
        <v>13</v>
      </c>
      <c r="C4" s="3" t="s">
        <v>14</v>
      </c>
      <c r="D4" s="3" t="s">
        <v>5</v>
      </c>
    </row>
    <row r="5" spans="1:5" ht="15.75" thickBot="1" x14ac:dyDescent="0.3">
      <c r="A5" s="4" t="s">
        <v>6</v>
      </c>
      <c r="B5" s="5">
        <v>1</v>
      </c>
      <c r="C5" s="5"/>
      <c r="D5" s="5"/>
    </row>
    <row r="6" spans="1:5" ht="15.75" thickBot="1" x14ac:dyDescent="0.3">
      <c r="A6" s="4" t="s">
        <v>7</v>
      </c>
      <c r="B6" s="5"/>
      <c r="C6" s="5">
        <v>1</v>
      </c>
      <c r="D6" s="5"/>
    </row>
    <row r="7" spans="1:5" ht="15.75" thickBot="1" x14ac:dyDescent="0.3">
      <c r="A7" s="4" t="s">
        <v>8</v>
      </c>
      <c r="B7" s="5">
        <v>3</v>
      </c>
      <c r="C7" s="5">
        <v>3</v>
      </c>
      <c r="D7" s="5"/>
    </row>
    <row r="8" spans="1:5" ht="15.75" thickBot="1" x14ac:dyDescent="0.3">
      <c r="A8" s="4" t="s">
        <v>9</v>
      </c>
      <c r="B8" s="5">
        <v>2</v>
      </c>
      <c r="C8" s="5">
        <v>2</v>
      </c>
      <c r="D8" s="5"/>
    </row>
    <row r="9" spans="1:5" ht="15.75" thickBot="1" x14ac:dyDescent="0.3">
      <c r="A9" s="4" t="s">
        <v>10</v>
      </c>
      <c r="B9" s="5">
        <v>3</v>
      </c>
      <c r="C9" s="5">
        <v>3</v>
      </c>
      <c r="D9" s="5"/>
    </row>
    <row r="10" spans="1:5" x14ac:dyDescent="0.25">
      <c r="A10" s="13" t="s">
        <v>11</v>
      </c>
      <c r="B10" s="14"/>
      <c r="C10" s="14"/>
      <c r="D10" s="14">
        <v>3</v>
      </c>
    </row>
    <row r="11" spans="1:5" ht="19.5" customHeight="1" x14ac:dyDescent="0.25">
      <c r="A11" s="15" t="s">
        <v>20</v>
      </c>
      <c r="B11" s="9">
        <f>SUM(B5:B10)</f>
        <v>9</v>
      </c>
      <c r="C11" s="9">
        <f t="shared" ref="C11:D11" si="0">SUM(C5:C10)</f>
        <v>9</v>
      </c>
      <c r="D11" s="9">
        <f t="shared" si="0"/>
        <v>3</v>
      </c>
    </row>
    <row r="12" spans="1:5" ht="13.5" customHeight="1" x14ac:dyDescent="0.25">
      <c r="A12" s="15" t="s">
        <v>21</v>
      </c>
      <c r="B12" s="9">
        <f>B11*3</f>
        <v>27</v>
      </c>
      <c r="C12" s="9">
        <f>C11*4</f>
        <v>36</v>
      </c>
      <c r="D12" s="9">
        <f>D11*8</f>
        <v>24</v>
      </c>
      <c r="E12">
        <f>SUM(B12:D12)</f>
        <v>87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4:C11"/>
  <sheetViews>
    <sheetView workbookViewId="0">
      <selection activeCell="D24" sqref="D24"/>
    </sheetView>
  </sheetViews>
  <sheetFormatPr baseColWidth="10" defaultRowHeight="15" x14ac:dyDescent="0.25"/>
  <cols>
    <col min="1" max="1" width="31.140625" customWidth="1"/>
    <col min="2" max="2" width="18.140625" customWidth="1"/>
    <col min="3" max="3" width="14.140625" customWidth="1"/>
  </cols>
  <sheetData>
    <row r="4" spans="1:3" x14ac:dyDescent="0.25">
      <c r="A4" s="20" t="s">
        <v>16</v>
      </c>
      <c r="B4" s="20" t="s">
        <v>17</v>
      </c>
      <c r="C4" s="20" t="s">
        <v>18</v>
      </c>
    </row>
    <row r="5" spans="1:3" x14ac:dyDescent="0.25">
      <c r="A5" s="8" t="s">
        <v>19</v>
      </c>
      <c r="B5" s="16" t="s">
        <v>22</v>
      </c>
      <c r="C5" s="17">
        <f>87*16.52</f>
        <v>1437.24</v>
      </c>
    </row>
    <row r="6" spans="1:3" x14ac:dyDescent="0.25">
      <c r="A6" s="8" t="s">
        <v>23</v>
      </c>
      <c r="B6" s="16" t="s">
        <v>31</v>
      </c>
      <c r="C6" s="17">
        <f>2*10 + 11*15</f>
        <v>185</v>
      </c>
    </row>
    <row r="7" spans="1:3" x14ac:dyDescent="0.25">
      <c r="A7" s="8" t="s">
        <v>24</v>
      </c>
      <c r="B7" s="16" t="s">
        <v>25</v>
      </c>
      <c r="C7" s="17">
        <f>3*10</f>
        <v>30</v>
      </c>
    </row>
    <row r="8" spans="1:3" x14ac:dyDescent="0.25">
      <c r="A8" s="8" t="s">
        <v>26</v>
      </c>
      <c r="B8" s="18">
        <v>1500</v>
      </c>
      <c r="C8" s="19">
        <v>1500</v>
      </c>
    </row>
    <row r="9" spans="1:3" x14ac:dyDescent="0.25">
      <c r="A9" s="8" t="s">
        <v>27</v>
      </c>
      <c r="B9" s="16" t="s">
        <v>28</v>
      </c>
      <c r="C9" s="17">
        <f>0.8*450</f>
        <v>360</v>
      </c>
    </row>
    <row r="10" spans="1:3" x14ac:dyDescent="0.25">
      <c r="A10" s="8" t="s">
        <v>29</v>
      </c>
      <c r="B10" s="18">
        <v>2460</v>
      </c>
      <c r="C10" s="19">
        <v>2460</v>
      </c>
    </row>
    <row r="11" spans="1:3" x14ac:dyDescent="0.25">
      <c r="A11" s="20" t="s">
        <v>30</v>
      </c>
      <c r="B11" s="20"/>
      <c r="C11" s="21">
        <f>SUM(C5:C10)</f>
        <v>5972.24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3:D15"/>
  <sheetViews>
    <sheetView tabSelected="1" workbookViewId="0">
      <selection activeCell="G26" sqref="G26"/>
    </sheetView>
  </sheetViews>
  <sheetFormatPr baseColWidth="10" defaultRowHeight="15" x14ac:dyDescent="0.25"/>
  <cols>
    <col min="1" max="1" width="16.140625" customWidth="1"/>
    <col min="2" max="2" width="11.42578125" customWidth="1"/>
  </cols>
  <sheetData>
    <row r="3" spans="1:4" x14ac:dyDescent="0.25">
      <c r="A3" t="s">
        <v>2</v>
      </c>
      <c r="D3">
        <v>300</v>
      </c>
    </row>
    <row r="4" spans="1:4" x14ac:dyDescent="0.25">
      <c r="A4" t="s">
        <v>0</v>
      </c>
      <c r="B4" s="1">
        <v>0.78</v>
      </c>
      <c r="C4">
        <f>B4*$D$3</f>
        <v>234</v>
      </c>
    </row>
    <row r="5" spans="1:4" x14ac:dyDescent="0.25">
      <c r="A5" t="s">
        <v>1</v>
      </c>
      <c r="B5" s="1">
        <v>0.22</v>
      </c>
      <c r="C5">
        <f>B5*$D$3</f>
        <v>66</v>
      </c>
    </row>
    <row r="7" spans="1:4" x14ac:dyDescent="0.25">
      <c r="A7" t="s">
        <v>3</v>
      </c>
      <c r="C7" t="s">
        <v>15</v>
      </c>
    </row>
    <row r="8" spans="1:4" x14ac:dyDescent="0.25">
      <c r="A8" s="9" t="s">
        <v>32</v>
      </c>
      <c r="B8" s="10">
        <v>0.02</v>
      </c>
      <c r="C8" s="11">
        <f>B8*$D$12</f>
        <v>4.68</v>
      </c>
    </row>
    <row r="9" spans="1:4" x14ac:dyDescent="0.25">
      <c r="A9" s="9" t="s">
        <v>33</v>
      </c>
      <c r="B9" s="10">
        <v>0.06</v>
      </c>
      <c r="C9" s="11">
        <f t="shared" ref="C9:C14" si="0">B9*$D$12</f>
        <v>14.04</v>
      </c>
    </row>
    <row r="10" spans="1:4" x14ac:dyDescent="0.25">
      <c r="A10" s="9" t="s">
        <v>34</v>
      </c>
      <c r="B10" s="10">
        <v>0.11</v>
      </c>
      <c r="C10" s="11">
        <f t="shared" si="0"/>
        <v>25.74</v>
      </c>
    </row>
    <row r="11" spans="1:4" x14ac:dyDescent="0.25">
      <c r="A11" s="9" t="s">
        <v>35</v>
      </c>
      <c r="B11" s="10">
        <v>0.26</v>
      </c>
      <c r="C11" s="11">
        <f t="shared" si="0"/>
        <v>60.84</v>
      </c>
    </row>
    <row r="12" spans="1:4" x14ac:dyDescent="0.25">
      <c r="A12" s="9" t="s">
        <v>36</v>
      </c>
      <c r="B12" s="10">
        <v>0.25</v>
      </c>
      <c r="C12" s="11">
        <f t="shared" si="0"/>
        <v>58.5</v>
      </c>
      <c r="D12">
        <v>234</v>
      </c>
    </row>
    <row r="13" spans="1:4" x14ac:dyDescent="0.25">
      <c r="A13" s="9" t="s">
        <v>37</v>
      </c>
      <c r="B13" s="10">
        <v>0.22</v>
      </c>
      <c r="C13" s="11">
        <f t="shared" si="0"/>
        <v>51.48</v>
      </c>
    </row>
    <row r="14" spans="1:4" x14ac:dyDescent="0.25">
      <c r="A14" s="12" t="s">
        <v>4</v>
      </c>
      <c r="B14" s="10">
        <v>0.08</v>
      </c>
      <c r="C14" s="11">
        <f t="shared" si="0"/>
        <v>18.72</v>
      </c>
    </row>
    <row r="15" spans="1:4" x14ac:dyDescent="0.25">
      <c r="B15" s="1">
        <f>SUM(B8:B14)</f>
        <v>0.99999999999999989</v>
      </c>
      <c r="C15" s="7">
        <f>SUM(C8:C14)</f>
        <v>234</v>
      </c>
    </row>
  </sheetData>
  <pageMargins left="0.7" right="0.7" top="0.75" bottom="0.75" header="0.3" footer="0.3"/>
  <drawing r:id="rId1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4D27907A6857764CA978A2DA3C378C20" ma:contentTypeVersion="9" ma:contentTypeDescription="Crée un document." ma:contentTypeScope="" ma:versionID="68a11b05b780f0ecbccd66bf95e1f301">
  <xsd:schema xmlns:xsd="http://www.w3.org/2001/XMLSchema" xmlns:xs="http://www.w3.org/2001/XMLSchema" xmlns:p="http://schemas.microsoft.com/office/2006/metadata/properties" xmlns:ns2="82905250-58d4-4cac-bb0d-b4661e42aa10" xmlns:ns3="83a265cd-4431-46b8-a7ba-0250525921fc" targetNamespace="http://schemas.microsoft.com/office/2006/metadata/properties" ma:root="true" ma:fieldsID="79e6225e35e331f976f59efe8e30220b" ns2:_="" ns3:_="">
    <xsd:import namespace="82905250-58d4-4cac-bb0d-b4661e42aa10"/>
    <xsd:import namespace="83a265cd-4431-46b8-a7ba-0250525921fc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2:lcf76f155ced4ddcb4097134ff3c332f" minOccurs="0"/>
                <xsd:element ref="ns3:TaxCatchAll" minOccurs="0"/>
                <xsd:element ref="ns2:MediaServiceOCR" minOccurs="0"/>
                <xsd:element ref="ns2:MediaServiceGenerationTime" minOccurs="0"/>
                <xsd:element ref="ns2:MediaServiceEventHashCode" minOccurs="0"/>
                <xsd:element ref="ns2:MediaServiceDateTaken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82905250-58d4-4cac-bb0d-b4661e42aa10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lcf76f155ced4ddcb4097134ff3c332f" ma:index="11" nillable="true" ma:taxonomy="true" ma:internalName="lcf76f155ced4ddcb4097134ff3c332f" ma:taxonomyFieldName="MediaServiceImageTags" ma:displayName="Balises d’images" ma:readOnly="false" ma:fieldId="{5cf76f15-5ced-4ddc-b409-7134ff3c332f}" ma:taxonomyMulti="true" ma:sspId="e0316926-e272-4302-89b0-5e160602c2e1" ma:termSetId="09814cd3-568e-fe90-9814-8d621ff8fb84" ma:anchorId="fba54fb3-c3e1-fe81-a776-ca4b69148c4d" ma:open="true" ma:isKeyword="false">
      <xsd:complexType>
        <xsd:sequence>
          <xsd:element ref="pc:Terms" minOccurs="0" maxOccurs="1"/>
        </xsd:sequence>
      </xsd:complexType>
    </xsd:element>
    <xsd:element name="MediaServiceOCR" ma:index="13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  <xsd:element name="MediaServiceGenerationTime" ma:index="14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5" nillable="true" ma:displayName="MediaServiceEventHashCode" ma:hidden="true" ma:internalName="MediaServiceEventHashCode" ma:readOnly="true">
      <xsd:simpleType>
        <xsd:restriction base="dms:Text"/>
      </xsd:simpleType>
    </xsd:element>
    <xsd:element name="MediaServiceDateTaken" ma:index="16" nillable="true" ma:displayName="MediaServiceDateTaken" ma:hidden="true" ma:internalName="MediaServiceDateTaken" ma:readOnly="true">
      <xsd:simpleType>
        <xsd:restriction base="dms:Text"/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83a265cd-4431-46b8-a7ba-0250525921fc" elementFormDefault="qualified">
    <xsd:import namespace="http://schemas.microsoft.com/office/2006/documentManagement/types"/>
    <xsd:import namespace="http://schemas.microsoft.com/office/infopath/2007/PartnerControls"/>
    <xsd:element name="TaxCatchAll" ma:index="12" nillable="true" ma:displayName="Taxonomy Catch All Column" ma:hidden="true" ma:list="{4b1161bc-43bf-41a1-9c50-cb7d2b21db1b}" ma:internalName="TaxCatchAll" ma:showField="CatchAllData" ma:web="83a265cd-4431-46b8-a7ba-0250525921fc">
      <xsd:complexType>
        <xsd:complexContent>
          <xsd:extension base="dms:MultiChoiceLookup">
            <xsd:sequence>
              <xsd:element name="Value" type="dms:Lookup" maxOccurs="unbounded" minOccurs="0" nillable="true"/>
            </xsd:sequence>
          </xsd:extension>
        </xsd:complexContent>
      </xsd:complex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Type de contenu"/>
        <xsd:element ref="dc:title" minOccurs="0" maxOccurs="1" ma:index="4" ma:displayName="Titr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2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3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TaxCatchAll xmlns="83a265cd-4431-46b8-a7ba-0250525921fc" xsi:nil="true"/>
    <lcf76f155ced4ddcb4097134ff3c332f xmlns="82905250-58d4-4cac-bb0d-b4661e42aa10">
      <Terms xmlns="http://schemas.microsoft.com/office/infopath/2007/PartnerControls"/>
    </lcf76f155ced4ddcb4097134ff3c332f>
  </documentManagement>
</p:properties>
</file>

<file path=customXml/itemProps1.xml><?xml version="1.0" encoding="utf-8"?>
<ds:datastoreItem xmlns:ds="http://schemas.openxmlformats.org/officeDocument/2006/customXml" ds:itemID="{6427CDC8-5197-4C6D-AADD-08824EC6CE96}">
  <ds:schemaRefs>
    <ds:schemaRef ds:uri="http://schemas.microsoft.com/office/2006/metadata/contentType"/>
    <ds:schemaRef ds:uri="http://schemas.microsoft.com/office/2006/metadata/properties/metaAttributes"/>
    <ds:schemaRef ds:uri="http://www.w3.org/2001/XMLSchema"/>
    <ds:schemaRef ds:uri="http://schemas.microsoft.com/office/2006/metadata/properties"/>
    <ds:schemaRef ds:uri="82905250-58d4-4cac-bb0d-b4661e42aa10"/>
    <ds:schemaRef ds:uri="83a265cd-4431-46b8-a7ba-0250525921fc"/>
    <ds:schemaRef ds:uri="http://schemas.microsoft.com/office/2006/documentManagement/types"/>
    <ds:schemaRef ds:uri="http://schemas.microsoft.com/office/infopath/2007/PartnerControls"/>
    <ds:schemaRef ds:uri="http://schemas.openxmlformats.org/package/2006/metadata/core-properties"/>
    <ds:schemaRef ds:uri="http://purl.org/dc/elements/1.1/"/>
    <ds:schemaRef ds:uri="http://purl.org/dc/terms/"/>
    <ds:schemaRef ds:uri="http://schemas.microsoft.com/internal/obd"/>
  </ds:schemaRefs>
</ds:datastoreItem>
</file>

<file path=customXml/itemProps2.xml><?xml version="1.0" encoding="utf-8"?>
<ds:datastoreItem xmlns:ds="http://schemas.openxmlformats.org/officeDocument/2006/customXml" ds:itemID="{0FA01B32-626C-4665-87F8-97F720A7C8BC}">
  <ds:schemaRefs>
    <ds:schemaRef ds:uri="http://schemas.microsoft.com/sharepoint/v3/contenttype/forms"/>
  </ds:schemaRefs>
</ds:datastoreItem>
</file>

<file path=customXml/itemProps3.xml><?xml version="1.0" encoding="utf-8"?>
<ds:datastoreItem xmlns:ds="http://schemas.openxmlformats.org/officeDocument/2006/customXml" ds:itemID="{B8707FAF-3A75-44EB-AE61-F75ABE3DA4C4}">
  <ds:schemaRefs>
    <ds:schemaRef ds:uri="http://schemas.microsoft.com/office/2006/metadata/properties"/>
    <ds:schemaRef ds:uri="http://schemas.microsoft.com/office/infopath/2007/PartnerControls"/>
    <ds:schemaRef ds:uri="83a265cd-4431-46b8-a7ba-0250525921fc"/>
    <ds:schemaRef ds:uri="82905250-58d4-4cac-bb0d-b4661e42aa10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Feuilles de calcul</vt:lpstr>
      </vt:variant>
      <vt:variant>
        <vt:i4>3</vt:i4>
      </vt:variant>
    </vt:vector>
  </HeadingPairs>
  <TitlesOfParts>
    <vt:vector size="3" baseType="lpstr">
      <vt:lpstr>exercice 1</vt:lpstr>
      <vt:lpstr>exercice 1 calcul de coût </vt:lpstr>
      <vt:lpstr>exercice 2 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isabelle chaupart</dc:creator>
  <cp:lastModifiedBy>SARAIVA-LAFON AURELIE</cp:lastModifiedBy>
  <dcterms:created xsi:type="dcterms:W3CDTF">2018-09-06T07:13:27Z</dcterms:created>
  <dcterms:modified xsi:type="dcterms:W3CDTF">2022-05-20T09:04:49Z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0x0101004D27907A6857764CA978A2DA3C378C20</vt:lpwstr>
  </property>
</Properties>
</file>