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achette-my.sharepoint.com/personal/cbatallan_editions-foucher_fr/Documents/Documents/MCO/16521_MCO BLOC1_GUIDE PEDAGOGIQUE/CHAP16_GP/Exercice3/"/>
    </mc:Choice>
  </mc:AlternateContent>
  <xr:revisionPtr revIDLastSave="2" documentId="8_{695CB629-4720-4392-9D7B-A536C14A8FB2}" xr6:coauthVersionLast="47" xr6:coauthVersionMax="47" xr10:uidLastSave="{8FAADAF3-3F60-4C4B-B345-DE37DCE8F2EC}"/>
  <bookViews>
    <workbookView xWindow="3120" yWindow="1020" windowWidth="21360" windowHeight="15180" tabRatio="500" xr2:uid="{00000000-000D-0000-FFFF-FFFF00000000}"/>
  </bookViews>
  <sheets>
    <sheet name="Donné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C31" i="1" l="1"/>
  <c r="B32" i="1"/>
  <c r="C28" i="1" s="1"/>
  <c r="C27" i="1" l="1"/>
  <c r="C25" i="1"/>
  <c r="C26" i="1"/>
  <c r="C30" i="1"/>
  <c r="C29" i="1"/>
</calcChain>
</file>

<file path=xl/sharedStrings.xml><?xml version="1.0" encoding="utf-8"?>
<sst xmlns="http://schemas.openxmlformats.org/spreadsheetml/2006/main" count="33" uniqueCount="30">
  <si>
    <t>Population par sexe et groupe d'âges en 2021 : effectifs</t>
  </si>
  <si>
    <t>Groupe d'âges</t>
  </si>
  <si>
    <t>Femmes</t>
  </si>
  <si>
    <t>Hommes</t>
  </si>
  <si>
    <t>Ensemble</t>
  </si>
  <si>
    <t>Moins de 15 ans</t>
  </si>
  <si>
    <t>15-19 ans</t>
  </si>
  <si>
    <t>20-24 ans</t>
  </si>
  <si>
    <t>25-29 ans</t>
  </si>
  <si>
    <t>30-34 ans</t>
  </si>
  <si>
    <t>35-39 ans</t>
  </si>
  <si>
    <t>40-44 ans</t>
  </si>
  <si>
    <t>45-49 ans</t>
  </si>
  <si>
    <t>50-54 ans</t>
  </si>
  <si>
    <t>55-59 ans</t>
  </si>
  <si>
    <t>60-64 ans</t>
  </si>
  <si>
    <t>65-69 ans</t>
  </si>
  <si>
    <t>70-74 ans</t>
  </si>
  <si>
    <t>75 ans ou plus</t>
  </si>
  <si>
    <r>
      <rPr>
        <sz val="8"/>
        <rFont val="Arial"/>
        <family val="2"/>
        <charset val="1"/>
      </rPr>
      <t>Note : âge au 1</t>
    </r>
    <r>
      <rPr>
        <vertAlign val="superscript"/>
        <sz val="8"/>
        <rFont val="Arial"/>
        <family val="2"/>
        <charset val="1"/>
      </rPr>
      <t>er</t>
    </r>
    <r>
      <rPr>
        <sz val="8"/>
        <rFont val="Arial"/>
        <family val="2"/>
        <charset val="1"/>
      </rPr>
      <t xml:space="preserve"> janvier.</t>
    </r>
  </si>
  <si>
    <r>
      <rPr>
        <sz val="8"/>
        <rFont val="Arial"/>
        <family val="2"/>
        <charset val="1"/>
      </rPr>
      <t>Lecture : au 1</t>
    </r>
    <r>
      <rPr>
        <vertAlign val="superscript"/>
        <sz val="8"/>
        <rFont val="Arial"/>
        <family val="2"/>
        <charset val="1"/>
      </rPr>
      <t>er</t>
    </r>
    <r>
      <rPr>
        <sz val="8"/>
        <rFont val="Arial"/>
        <family val="2"/>
        <charset val="1"/>
      </rPr>
      <t xml:space="preserve"> janvier 2021, la France compte 5 856 900 femmes et 6 105 989 hommes de moins de 15 ans. </t>
    </r>
  </si>
  <si>
    <t>Champ : France.</t>
  </si>
  <si>
    <t>Source : Insee, estimations de population (données provisoires et révisées arrêtées à fin février 2021).</t>
  </si>
  <si>
    <t>15-24 ans</t>
  </si>
  <si>
    <t>25-39 ans</t>
  </si>
  <si>
    <t>40-54 ans</t>
  </si>
  <si>
    <t>55-64 ans</t>
  </si>
  <si>
    <t>65-74 ans</t>
  </si>
  <si>
    <t xml:space="preserve">Total </t>
  </si>
  <si>
    <t>En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</si>
</sst>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\-??\ _€_-;_-@_-"/>
    <numFmt numFmtId="165" formatCode="0.0"/>
  </numFmts>
  <fonts count="9" x14ac:knownFonts="1">
    <font>
      <sz val="10"/>
      <name val="Arial"/>
      <charset val="1"/>
    </font>
    <font>
      <sz val="10"/>
      <name val="Arial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sz val="8"/>
      <name val="Arial"/>
      <family val="2"/>
      <charset val="1"/>
    </font>
    <font>
      <vertAlign val="superscript"/>
      <sz val="8"/>
      <name val="Arial"/>
      <family val="2"/>
      <charset val="1"/>
    </font>
    <font>
      <i/>
      <sz val="8"/>
      <name val="Arial"/>
      <family val="2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8" fillId="0" borderId="0" applyBorder="0" applyProtection="0"/>
    <xf numFmtId="9" fontId="1" fillId="0" borderId="0" applyBorder="0" applyAlignment="0" applyProtection="0"/>
  </cellStyleXfs>
  <cellXfs count="17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3" fontId="3" fillId="0" borderId="0" xfId="1" applyNumberFormat="1" applyFont="1" applyBorder="1" applyAlignment="1" applyProtection="1">
      <alignment vertical="center"/>
    </xf>
    <xf numFmtId="3" fontId="3" fillId="0" borderId="0" xfId="0" applyNumberFormat="1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3" fontId="2" fillId="0" borderId="0" xfId="1" applyNumberFormat="1" applyFont="1" applyBorder="1" applyAlignment="1" applyProtection="1">
      <alignment vertical="center"/>
    </xf>
    <xf numFmtId="0" fontId="5" fillId="0" borderId="0" xfId="0" applyFont="1" applyBorder="1" applyAlignment="1">
      <alignment horizontal="left" vertical="center"/>
    </xf>
    <xf numFmtId="3" fontId="2" fillId="0" borderId="0" xfId="1" applyNumberFormat="1" applyFont="1" applyBorder="1" applyAlignment="1" applyProtection="1">
      <alignment horizontal="right" vertical="center"/>
    </xf>
    <xf numFmtId="165" fontId="3" fillId="0" borderId="0" xfId="1" applyNumberFormat="1" applyFont="1" applyBorder="1" applyAlignment="1" applyProtection="1">
      <alignment vertical="center"/>
    </xf>
    <xf numFmtId="0" fontId="7" fillId="0" borderId="0" xfId="0" applyFont="1" applyBorder="1" applyAlignment="1">
      <alignment horizontal="left" vertical="center"/>
    </xf>
    <xf numFmtId="3" fontId="0" fillId="0" borderId="0" xfId="0" applyNumberFormat="1" applyAlignment="1">
      <alignment vertical="center"/>
    </xf>
    <xf numFmtId="9" fontId="1" fillId="0" borderId="0" xfId="2" applyAlignment="1">
      <alignment vertical="center"/>
    </xf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Données!$A$25:$A$31</c:f>
              <c:strCache>
                <c:ptCount val="7"/>
                <c:pt idx="0">
                  <c:v>Moins de 15 ans</c:v>
                </c:pt>
                <c:pt idx="1">
                  <c:v>15-24 ans</c:v>
                </c:pt>
                <c:pt idx="2">
                  <c:v>25-39 ans</c:v>
                </c:pt>
                <c:pt idx="3">
                  <c:v>40-54 ans</c:v>
                </c:pt>
                <c:pt idx="4">
                  <c:v>55-64 ans</c:v>
                </c:pt>
                <c:pt idx="5">
                  <c:v>65-74 ans</c:v>
                </c:pt>
                <c:pt idx="6">
                  <c:v>75 ans ou plus</c:v>
                </c:pt>
              </c:strCache>
            </c:strRef>
          </c:cat>
          <c:val>
            <c:numRef>
              <c:f>Données!$B$25:$B$31</c:f>
              <c:numCache>
                <c:formatCode>General</c:formatCode>
                <c:ptCount val="7"/>
                <c:pt idx="0">
                  <c:v>11962889</c:v>
                </c:pt>
                <c:pt idx="1">
                  <c:v>7988149</c:v>
                </c:pt>
                <c:pt idx="2">
                  <c:v>11978664</c:v>
                </c:pt>
                <c:pt idx="3">
                  <c:v>12996759</c:v>
                </c:pt>
                <c:pt idx="4">
                  <c:v>8515869</c:v>
                </c:pt>
                <c:pt idx="5">
                  <c:v>7555343</c:v>
                </c:pt>
                <c:pt idx="6">
                  <c:v>6409568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8F-4CB5-B3DE-C9090C89C8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3987656"/>
        <c:axId val="503986672"/>
      </c:barChart>
      <c:catAx>
        <c:axId val="503987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03986672"/>
        <c:crosses val="autoZero"/>
        <c:auto val="1"/>
        <c:lblAlgn val="ctr"/>
        <c:lblOffset val="100"/>
        <c:noMultiLvlLbl val="0"/>
      </c:catAx>
      <c:valAx>
        <c:axId val="50398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03987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23</xdr:row>
      <xdr:rowOff>0</xdr:rowOff>
    </xdr:from>
    <xdr:to>
      <xdr:col>9</xdr:col>
      <xdr:colOff>714375</xdr:colOff>
      <xdr:row>39</xdr:row>
      <xdr:rowOff>152400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C8CCDCE0-18F5-475E-A060-E484FCA733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32"/>
  <sheetViews>
    <sheetView tabSelected="1" zoomScaleNormal="100" workbookViewId="0">
      <selection activeCell="A25" sqref="A25:B31"/>
    </sheetView>
  </sheetViews>
  <sheetFormatPr baseColWidth="10" defaultColWidth="11.5703125" defaultRowHeight="12.75" x14ac:dyDescent="0.2"/>
  <cols>
    <col min="1" max="1" width="26" style="1" customWidth="1"/>
    <col min="2" max="1024" width="11.5703125" style="1"/>
  </cols>
  <sheetData>
    <row r="1" spans="1:4" ht="12.75" customHeight="1" x14ac:dyDescent="0.2">
      <c r="A1" s="2" t="s">
        <v>0</v>
      </c>
      <c r="B1" s="3"/>
      <c r="C1" s="3"/>
      <c r="D1" s="3"/>
    </row>
    <row r="2" spans="1:4" ht="12.75" customHeight="1" x14ac:dyDescent="0.2">
      <c r="A2" s="2"/>
      <c r="B2" s="3"/>
      <c r="C2" s="3"/>
      <c r="D2" s="3"/>
    </row>
    <row r="3" spans="1:4" ht="12.75" customHeight="1" x14ac:dyDescent="0.2">
      <c r="A3" s="4" t="s">
        <v>1</v>
      </c>
      <c r="B3" s="5" t="s">
        <v>2</v>
      </c>
      <c r="C3" s="5" t="s">
        <v>3</v>
      </c>
      <c r="D3" s="5" t="s">
        <v>4</v>
      </c>
    </row>
    <row r="4" spans="1:4" ht="12.75" customHeight="1" x14ac:dyDescent="0.2">
      <c r="A4" s="6" t="s">
        <v>5</v>
      </c>
      <c r="B4" s="7">
        <v>5856900</v>
      </c>
      <c r="C4" s="7">
        <v>6105989</v>
      </c>
      <c r="D4" s="7">
        <v>11962889</v>
      </c>
    </row>
    <row r="5" spans="1:4" ht="12.75" customHeight="1" x14ac:dyDescent="0.2">
      <c r="A5" s="6" t="s">
        <v>6</v>
      </c>
      <c r="B5" s="7">
        <v>2024642</v>
      </c>
      <c r="C5" s="7">
        <v>2136473</v>
      </c>
      <c r="D5" s="7">
        <v>4161115</v>
      </c>
    </row>
    <row r="6" spans="1:4" ht="12.75" customHeight="1" x14ac:dyDescent="0.2">
      <c r="A6" s="6" t="s">
        <v>7</v>
      </c>
      <c r="B6" s="7">
        <v>1883418</v>
      </c>
      <c r="C6" s="7">
        <v>1943616</v>
      </c>
      <c r="D6" s="7">
        <v>3827034</v>
      </c>
    </row>
    <row r="7" spans="1:4" ht="12.75" customHeight="1" x14ac:dyDescent="0.2">
      <c r="A7" s="6" t="s">
        <v>8</v>
      </c>
      <c r="B7" s="7">
        <v>1869943</v>
      </c>
      <c r="C7" s="7">
        <v>1829074</v>
      </c>
      <c r="D7" s="7">
        <v>3699017</v>
      </c>
    </row>
    <row r="8" spans="1:4" ht="12.75" customHeight="1" x14ac:dyDescent="0.2">
      <c r="A8" s="6" t="s">
        <v>9</v>
      </c>
      <c r="B8" s="7">
        <v>2089420</v>
      </c>
      <c r="C8" s="7">
        <v>1976672</v>
      </c>
      <c r="D8" s="7">
        <v>4066092</v>
      </c>
    </row>
    <row r="9" spans="1:4" ht="12.75" customHeight="1" x14ac:dyDescent="0.2">
      <c r="A9" s="6" t="s">
        <v>10</v>
      </c>
      <c r="B9" s="7">
        <v>2167585</v>
      </c>
      <c r="C9" s="7">
        <v>2045970</v>
      </c>
      <c r="D9" s="7">
        <v>4213555</v>
      </c>
    </row>
    <row r="10" spans="1:4" ht="12.75" customHeight="1" x14ac:dyDescent="0.2">
      <c r="A10" s="6" t="s">
        <v>11</v>
      </c>
      <c r="B10" s="7">
        <v>2109573</v>
      </c>
      <c r="C10" s="7">
        <v>2030367</v>
      </c>
      <c r="D10" s="7">
        <v>4139940</v>
      </c>
    </row>
    <row r="11" spans="1:4" ht="12.75" customHeight="1" x14ac:dyDescent="0.2">
      <c r="A11" s="6" t="s">
        <v>12</v>
      </c>
      <c r="B11" s="7">
        <v>2241600</v>
      </c>
      <c r="C11" s="7">
        <v>2191233</v>
      </c>
      <c r="D11" s="7">
        <v>4432833</v>
      </c>
    </row>
    <row r="12" spans="1:4" ht="12.75" customHeight="1" x14ac:dyDescent="0.2">
      <c r="A12" s="6" t="s">
        <v>13</v>
      </c>
      <c r="B12" s="7">
        <v>2248475</v>
      </c>
      <c r="C12" s="7">
        <v>2175511</v>
      </c>
      <c r="D12" s="7">
        <v>4423986</v>
      </c>
    </row>
    <row r="13" spans="1:4" ht="12.75" customHeight="1" x14ac:dyDescent="0.2">
      <c r="A13" s="6" t="s">
        <v>14</v>
      </c>
      <c r="B13" s="7">
        <v>2255010</v>
      </c>
      <c r="C13" s="7">
        <v>2135166</v>
      </c>
      <c r="D13" s="7">
        <v>4390176</v>
      </c>
    </row>
    <row r="14" spans="1:4" ht="12.75" customHeight="1" x14ac:dyDescent="0.2">
      <c r="A14" s="6" t="s">
        <v>15</v>
      </c>
      <c r="B14" s="7">
        <v>2157194</v>
      </c>
      <c r="C14" s="7">
        <v>1968499</v>
      </c>
      <c r="D14" s="7">
        <v>4125693</v>
      </c>
    </row>
    <row r="15" spans="1:4" ht="12.75" customHeight="1" x14ac:dyDescent="0.2">
      <c r="A15" s="6" t="s">
        <v>16</v>
      </c>
      <c r="B15" s="7">
        <v>2058594</v>
      </c>
      <c r="C15" s="7">
        <v>1816440</v>
      </c>
      <c r="D15" s="7">
        <v>3875034</v>
      </c>
    </row>
    <row r="16" spans="1:4" ht="12.75" customHeight="1" x14ac:dyDescent="0.2">
      <c r="A16" s="6" t="s">
        <v>17</v>
      </c>
      <c r="B16" s="7">
        <v>1977748</v>
      </c>
      <c r="C16" s="7">
        <v>1702561</v>
      </c>
      <c r="D16" s="7">
        <v>3680309</v>
      </c>
    </row>
    <row r="17" spans="1:4" ht="12.75" customHeight="1" x14ac:dyDescent="0.2">
      <c r="A17" s="6" t="s">
        <v>18</v>
      </c>
      <c r="B17" s="8">
        <v>3906839</v>
      </c>
      <c r="C17" s="7">
        <v>2502729</v>
      </c>
      <c r="D17" s="7">
        <v>6409568</v>
      </c>
    </row>
    <row r="18" spans="1:4" ht="12.75" customHeight="1" x14ac:dyDescent="0.2">
      <c r="A18" s="9" t="s">
        <v>4</v>
      </c>
      <c r="B18" s="10">
        <v>34846941</v>
      </c>
      <c r="C18" s="10">
        <v>32560300</v>
      </c>
      <c r="D18" s="10">
        <v>67407241</v>
      </c>
    </row>
    <row r="19" spans="1:4" ht="12.75" customHeight="1" x14ac:dyDescent="0.2">
      <c r="A19" s="11" t="s">
        <v>19</v>
      </c>
      <c r="B19" s="12"/>
      <c r="C19" s="12"/>
      <c r="D19" s="12"/>
    </row>
    <row r="20" spans="1:4" ht="12.75" customHeight="1" x14ac:dyDescent="0.2">
      <c r="A20" s="11" t="s">
        <v>20</v>
      </c>
      <c r="B20" s="12"/>
      <c r="C20" s="12"/>
      <c r="D20" s="12"/>
    </row>
    <row r="21" spans="1:4" ht="12.75" customHeight="1" x14ac:dyDescent="0.2">
      <c r="A21" s="11" t="s">
        <v>21</v>
      </c>
      <c r="B21" s="13"/>
      <c r="C21" s="13"/>
      <c r="D21" s="13"/>
    </row>
    <row r="22" spans="1:4" ht="12.75" customHeight="1" x14ac:dyDescent="0.2">
      <c r="A22" s="14" t="s">
        <v>22</v>
      </c>
      <c r="B22" s="3"/>
      <c r="C22" s="3"/>
      <c r="D22" s="3"/>
    </row>
    <row r="24" spans="1:4" x14ac:dyDescent="0.2">
      <c r="C24" s="1" t="s">
        <v>29</v>
      </c>
    </row>
    <row r="25" spans="1:4" x14ac:dyDescent="0.2">
      <c r="A25" s="6" t="s">
        <v>5</v>
      </c>
      <c r="B25" s="1">
        <v>11962889</v>
      </c>
      <c r="C25" s="16">
        <f>B25/$B$32</f>
        <v>0.17747186834126619</v>
      </c>
    </row>
    <row r="26" spans="1:4" x14ac:dyDescent="0.2">
      <c r="A26" s="6" t="s">
        <v>23</v>
      </c>
      <c r="B26" s="1">
        <v>7988149</v>
      </c>
      <c r="C26" s="16">
        <f t="shared" ref="C26:C31" si="0">B26/$B$32</f>
        <v>0.118505799695911</v>
      </c>
    </row>
    <row r="27" spans="1:4" x14ac:dyDescent="0.2">
      <c r="A27" s="6" t="s">
        <v>24</v>
      </c>
      <c r="B27" s="1">
        <v>11978664</v>
      </c>
      <c r="C27" s="16">
        <f t="shared" si="0"/>
        <v>0.1777058936442748</v>
      </c>
    </row>
    <row r="28" spans="1:4" x14ac:dyDescent="0.2">
      <c r="A28" s="6" t="s">
        <v>25</v>
      </c>
      <c r="B28" s="1">
        <v>12996759</v>
      </c>
      <c r="C28" s="16">
        <f t="shared" si="0"/>
        <v>0.1928095380732168</v>
      </c>
    </row>
    <row r="29" spans="1:4" x14ac:dyDescent="0.2">
      <c r="A29" s="6" t="s">
        <v>26</v>
      </c>
      <c r="B29" s="1">
        <v>8515869</v>
      </c>
      <c r="C29" s="16">
        <f t="shared" si="0"/>
        <v>0.12633463220961677</v>
      </c>
    </row>
    <row r="30" spans="1:4" x14ac:dyDescent="0.2">
      <c r="A30" s="6" t="s">
        <v>27</v>
      </c>
      <c r="B30" s="1">
        <v>7555343</v>
      </c>
      <c r="C30" s="16">
        <f t="shared" si="0"/>
        <v>0.11208503549344202</v>
      </c>
    </row>
    <row r="31" spans="1:4" x14ac:dyDescent="0.2">
      <c r="A31" s="6" t="s">
        <v>18</v>
      </c>
      <c r="B31" s="1">
        <v>6409568</v>
      </c>
      <c r="C31" s="16">
        <f t="shared" si="0"/>
        <v>9.5087232542272429E-2</v>
      </c>
    </row>
    <row r="32" spans="1:4" x14ac:dyDescent="0.2">
      <c r="A32" s="1" t="s">
        <v>28</v>
      </c>
      <c r="B32" s="1">
        <f>SUM(B25:B31)</f>
        <v>67407241</v>
      </c>
      <c r="C32" s="15"/>
    </row>
  </sheetData>
  <pageMargins left="0.39374999999999999" right="0.39374999999999999" top="0.39374999999999999" bottom="7.8472222222222193E-2" header="0.51180555555555496" footer="0.51180555555555496"/>
  <pageSetup paperSize="9" firstPageNumber="0" orientation="portrait" horizontalDpi="300" verticalDpi="30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3a265cd-4431-46b8-a7ba-0250525921fc" xsi:nil="true"/>
    <lcf76f155ced4ddcb4097134ff3c332f xmlns="82905250-58d4-4cac-bb0d-b4661e42aa1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27907A6857764CA978A2DA3C378C20" ma:contentTypeVersion="9" ma:contentTypeDescription="Crée un document." ma:contentTypeScope="" ma:versionID="68a11b05b780f0ecbccd66bf95e1f301">
  <xsd:schema xmlns:xsd="http://www.w3.org/2001/XMLSchema" xmlns:xs="http://www.w3.org/2001/XMLSchema" xmlns:p="http://schemas.microsoft.com/office/2006/metadata/properties" xmlns:ns2="82905250-58d4-4cac-bb0d-b4661e42aa10" xmlns:ns3="83a265cd-4431-46b8-a7ba-0250525921fc" targetNamespace="http://schemas.microsoft.com/office/2006/metadata/properties" ma:root="true" ma:fieldsID="79e6225e35e331f976f59efe8e30220b" ns2:_="" ns3:_="">
    <xsd:import namespace="82905250-58d4-4cac-bb0d-b4661e42aa10"/>
    <xsd:import namespace="83a265cd-4431-46b8-a7ba-0250525921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905250-58d4-4cac-bb0d-b4661e42aa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e0316926-e272-4302-89b0-5e160602c2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a265cd-4431-46b8-a7ba-0250525921f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b1161bc-43bf-41a1-9c50-cb7d2b21db1b}" ma:internalName="TaxCatchAll" ma:showField="CatchAllData" ma:web="83a265cd-4431-46b8-a7ba-0250525921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D166BE-B822-4020-A41E-A514F136035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FE17DC5-661E-4CA4-A7AC-DA0505726A6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99A5AFA-DD38-4106-920D-2A24D27081AD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Données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isabelle chaupart</dc:creator>
  <dc:description/>
  <cp:lastModifiedBy>BATALLAN CHLOE</cp:lastModifiedBy>
  <cp:revision>7</cp:revision>
  <cp:lastPrinted>2019-01-08T16:22:57Z</cp:lastPrinted>
  <dcterms:created xsi:type="dcterms:W3CDTF">2016-10-14T12:43:30Z</dcterms:created>
  <dcterms:modified xsi:type="dcterms:W3CDTF">2022-05-02T09:44:11Z</dcterms:modified>
  <dc:language>fr-FR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0x0101004D27907A6857764CA978A2DA3C378C20</vt:lpwstr>
  </property>
</Properties>
</file>