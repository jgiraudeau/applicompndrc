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PROJETS 2021-2022/BTS MCO et NDRC_NE/MCO/BLOC1/RELECTURE MAJ/B_Relecture_V1/CHAP03_RELECTURE EDITO_27.09.21/Corrigé/"/>
    </mc:Choice>
  </mc:AlternateContent>
  <xr:revisionPtr revIDLastSave="1" documentId="8_{F97909EB-9BA1-4C0F-8017-F421CB3FF641}" xr6:coauthVersionLast="46" xr6:coauthVersionMax="46" xr10:uidLastSave="{4C3EF393-6A57-45E0-8711-2838D60A4F03}"/>
  <bookViews>
    <workbookView xWindow="2805" yWindow="975" windowWidth="18900" windowHeight="11055" xr2:uid="{54486BC8-98BC-4EE7-BC3B-5973060B7672}"/>
  </bookViews>
  <sheets>
    <sheet name="Énoncé" sheetId="3" r:id="rId1"/>
    <sheet name="Corrigé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3" l="1"/>
  <c r="I11" i="3"/>
  <c r="I9" i="3"/>
  <c r="I8" i="3"/>
  <c r="H6" i="3"/>
  <c r="G6" i="3"/>
  <c r="F6" i="3"/>
  <c r="E6" i="3"/>
  <c r="D6" i="3"/>
  <c r="C6" i="3"/>
  <c r="B6" i="3"/>
  <c r="I5" i="3"/>
  <c r="C24" i="1"/>
  <c r="D24" i="1"/>
  <c r="E24" i="1"/>
  <c r="F24" i="1"/>
  <c r="G24" i="1"/>
  <c r="H24" i="1"/>
  <c r="C25" i="1"/>
  <c r="D25" i="1"/>
  <c r="E25" i="1"/>
  <c r="F25" i="1"/>
  <c r="G25" i="1"/>
  <c r="H25" i="1"/>
  <c r="B25" i="1"/>
  <c r="B24" i="1"/>
  <c r="C19" i="1"/>
  <c r="D19" i="1"/>
  <c r="E19" i="1"/>
  <c r="F19" i="1"/>
  <c r="G19" i="1"/>
  <c r="H19" i="1"/>
  <c r="B19" i="1"/>
  <c r="C18" i="1"/>
  <c r="D18" i="1"/>
  <c r="E18" i="1"/>
  <c r="F18" i="1"/>
  <c r="G18" i="1"/>
  <c r="H18" i="1"/>
  <c r="B18" i="1"/>
  <c r="C10" i="1"/>
  <c r="D10" i="1"/>
  <c r="E10" i="1"/>
  <c r="F10" i="1"/>
  <c r="G10" i="1"/>
  <c r="H10" i="1"/>
  <c r="B10" i="1"/>
  <c r="C8" i="1"/>
  <c r="D8" i="1"/>
  <c r="E8" i="1"/>
  <c r="F8" i="1"/>
  <c r="G8" i="1"/>
  <c r="H8" i="1"/>
  <c r="B8" i="1"/>
  <c r="I23" i="1"/>
  <c r="I22" i="1"/>
  <c r="C26" i="1" s="1"/>
  <c r="I17" i="1"/>
  <c r="I16" i="1"/>
  <c r="C20" i="1" s="1"/>
  <c r="B6" i="1"/>
  <c r="B13" i="1" s="1"/>
  <c r="C6" i="1"/>
  <c r="C13" i="1" s="1"/>
  <c r="D6" i="1"/>
  <c r="D7" i="1" s="1"/>
  <c r="D12" i="1" s="1"/>
  <c r="E6" i="1"/>
  <c r="E7" i="1" s="1"/>
  <c r="E12" i="1" s="1"/>
  <c r="F6" i="1"/>
  <c r="F7" i="1" s="1"/>
  <c r="F12" i="1" s="1"/>
  <c r="G6" i="1"/>
  <c r="G13" i="1" s="1"/>
  <c r="H6" i="1"/>
  <c r="H7" i="1" s="1"/>
  <c r="H12" i="1" s="1"/>
  <c r="I5" i="1"/>
  <c r="I10" i="1" l="1"/>
  <c r="F13" i="1"/>
  <c r="G7" i="1"/>
  <c r="G12" i="1" s="1"/>
  <c r="C7" i="1"/>
  <c r="C12" i="1" s="1"/>
  <c r="B26" i="1"/>
  <c r="I26" i="1"/>
  <c r="F26" i="1"/>
  <c r="E26" i="1"/>
  <c r="B7" i="1"/>
  <c r="B12" i="1" s="1"/>
  <c r="B14" i="1"/>
  <c r="I19" i="1"/>
  <c r="E13" i="1"/>
  <c r="I14" i="1"/>
  <c r="H13" i="1"/>
  <c r="D13" i="1"/>
  <c r="H14" i="1"/>
  <c r="D14" i="1"/>
  <c r="H26" i="1"/>
  <c r="D26" i="1"/>
  <c r="F14" i="1"/>
  <c r="E14" i="1"/>
  <c r="I25" i="1"/>
  <c r="G14" i="1"/>
  <c r="C14" i="1"/>
  <c r="G26" i="1"/>
  <c r="I24" i="1"/>
  <c r="I18" i="1"/>
  <c r="I20" i="1"/>
  <c r="E20" i="1"/>
  <c r="H20" i="1"/>
  <c r="D20" i="1"/>
  <c r="B20" i="1"/>
  <c r="F20" i="1"/>
  <c r="G20" i="1"/>
  <c r="I6" i="3"/>
  <c r="E9" i="1"/>
  <c r="E11" i="1"/>
  <c r="I8" i="1"/>
  <c r="H9" i="1"/>
  <c r="D9" i="1"/>
  <c r="H11" i="1"/>
  <c r="D11" i="1"/>
  <c r="G9" i="1"/>
  <c r="C9" i="1"/>
  <c r="G11" i="1"/>
  <c r="C11" i="1"/>
  <c r="F9" i="1"/>
  <c r="B9" i="1"/>
  <c r="F11" i="1"/>
  <c r="B11" i="1"/>
  <c r="I6" i="1"/>
  <c r="I13" i="1" l="1"/>
  <c r="I7" i="1"/>
  <c r="I12" i="1" s="1"/>
  <c r="I11" i="1"/>
  <c r="I9" i="1"/>
</calcChain>
</file>

<file path=xl/sharedStrings.xml><?xml version="1.0" encoding="utf-8"?>
<sst xmlns="http://schemas.openxmlformats.org/spreadsheetml/2006/main" count="48" uniqueCount="22">
  <si>
    <t xml:space="preserve">Produits grande consommation </t>
  </si>
  <si>
    <t>Produits frais</t>
  </si>
  <si>
    <t xml:space="preserve">textile </t>
  </si>
  <si>
    <t>Bazar</t>
  </si>
  <si>
    <t>Culture, multimédia</t>
  </si>
  <si>
    <t xml:space="preserve">électroménager </t>
  </si>
  <si>
    <t xml:space="preserve">Station service </t>
  </si>
  <si>
    <t xml:space="preserve">Marge </t>
  </si>
  <si>
    <t xml:space="preserve">Réalisation année N </t>
  </si>
  <si>
    <t xml:space="preserve">Ojectifs année N </t>
  </si>
  <si>
    <t>Réalisation année N-1</t>
  </si>
  <si>
    <t xml:space="preserve">Total </t>
  </si>
  <si>
    <t>Chiffre d'affaires HT</t>
  </si>
  <si>
    <t>Chiffre d'affaires  HT</t>
  </si>
  <si>
    <t xml:space="preserve">Taux de marge </t>
  </si>
  <si>
    <t xml:space="preserve">Taux de marque </t>
  </si>
  <si>
    <t xml:space="preserve">Part du rayon </t>
  </si>
  <si>
    <t>Taux de réalisation CA</t>
  </si>
  <si>
    <t>Taux d'évolution du CA</t>
  </si>
  <si>
    <t>Taux d'évolution de la marge</t>
  </si>
  <si>
    <t>PA HT</t>
  </si>
  <si>
    <t>Taux de réalisation 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</si>
</sst>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" fontId="0" fillId="0" borderId="1" xfId="0" applyNumberFormat="1" applyBorder="1"/>
    <xf numFmtId="10" fontId="0" fillId="0" borderId="1" xfId="1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/>
    <xf numFmtId="10" fontId="0" fillId="3" borderId="1" xfId="1" applyNumberFormat="1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</cellXfs>
  <cellStyles count="2">
    <cellStyle name="Normal" xfId="0" builtinId="0"/>
    <cellStyle name="Pourcentag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D7AA-985F-4D98-9E2A-D91C1B3DDAED}">
  <dimension ref="A3:I12"/>
  <sheetViews>
    <sheetView tabSelected="1" workbookViewId="0">
      <selection activeCell="C19" sqref="C19"/>
    </sheetView>
  </sheetViews>
  <sheetFormatPr baseColWidth="10" defaultRowHeight="15" x14ac:dyDescent="0.25"/>
  <cols>
    <col min="1" max="1" width="26" customWidth="1"/>
    <col min="2" max="2" width="14.140625" customWidth="1"/>
    <col min="7" max="7" width="10.28515625" customWidth="1"/>
  </cols>
  <sheetData>
    <row r="3" spans="1:9" s="2" customFormat="1" ht="50.25" customHeight="1" x14ac:dyDescent="0.25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4" t="s">
        <v>11</v>
      </c>
    </row>
    <row r="4" spans="1:9" s="2" customFormat="1" ht="12" customHeight="1" x14ac:dyDescent="0.25">
      <c r="A4" s="12" t="s">
        <v>8</v>
      </c>
      <c r="B4" s="4"/>
      <c r="C4" s="4"/>
      <c r="D4" s="4"/>
      <c r="E4" s="4"/>
      <c r="F4" s="4"/>
      <c r="G4" s="4"/>
      <c r="H4" s="4"/>
      <c r="I4" s="14"/>
    </row>
    <row r="5" spans="1:9" s="1" customFormat="1" x14ac:dyDescent="0.25">
      <c r="A5" s="5" t="s">
        <v>12</v>
      </c>
      <c r="B5" s="6">
        <v>14117676</v>
      </c>
      <c r="C5" s="6">
        <v>15453076</v>
      </c>
      <c r="D5" s="6">
        <v>1196053</v>
      </c>
      <c r="E5" s="6">
        <v>2274104</v>
      </c>
      <c r="F5" s="6">
        <v>4431470</v>
      </c>
      <c r="G5" s="6">
        <v>5678421</v>
      </c>
      <c r="H5" s="6">
        <v>9456784</v>
      </c>
      <c r="I5" s="15">
        <f>SUM(B5:H5)</f>
        <v>52607584</v>
      </c>
    </row>
    <row r="6" spans="1:9" x14ac:dyDescent="0.25">
      <c r="A6" s="7" t="s">
        <v>7</v>
      </c>
      <c r="B6" s="6">
        <f>B5*18%</f>
        <v>2541181.6799999997</v>
      </c>
      <c r="C6" s="6">
        <f>C5*12%</f>
        <v>1854369.1199999999</v>
      </c>
      <c r="D6" s="6">
        <f>D5*45%</f>
        <v>538223.85</v>
      </c>
      <c r="E6" s="6">
        <f>E5*45%</f>
        <v>1023346.8</v>
      </c>
      <c r="F6" s="6">
        <f>F5*37%</f>
        <v>1639643.9</v>
      </c>
      <c r="G6" s="6">
        <f>G5*21%</f>
        <v>1192468.4099999999</v>
      </c>
      <c r="H6" s="6">
        <f>H5*4%</f>
        <v>378271.36</v>
      </c>
      <c r="I6" s="16">
        <f>SUM(B6:H6)</f>
        <v>9167505.1199999992</v>
      </c>
    </row>
    <row r="7" spans="1:9" x14ac:dyDescent="0.25">
      <c r="A7" s="12" t="s">
        <v>9</v>
      </c>
      <c r="B7" s="9"/>
      <c r="C7" s="9"/>
      <c r="D7" s="9"/>
      <c r="E7" s="9"/>
      <c r="F7" s="9"/>
      <c r="G7" s="9"/>
      <c r="H7" s="9"/>
      <c r="I7" s="19"/>
    </row>
    <row r="8" spans="1:9" x14ac:dyDescent="0.25">
      <c r="A8" s="5" t="s">
        <v>13</v>
      </c>
      <c r="B8" s="6">
        <v>14123676</v>
      </c>
      <c r="C8" s="6">
        <v>15453076</v>
      </c>
      <c r="D8" s="6">
        <v>1496045</v>
      </c>
      <c r="E8" s="6">
        <v>2273456</v>
      </c>
      <c r="F8" s="6">
        <v>4434356</v>
      </c>
      <c r="G8" s="6">
        <v>5778426</v>
      </c>
      <c r="H8" s="6">
        <v>9422782</v>
      </c>
      <c r="I8" s="16">
        <f>SUM(B8:H8)</f>
        <v>52981817</v>
      </c>
    </row>
    <row r="9" spans="1:9" x14ac:dyDescent="0.25">
      <c r="A9" s="7" t="s">
        <v>7</v>
      </c>
      <c r="B9" s="6">
        <v>2554181</v>
      </c>
      <c r="C9" s="6">
        <v>1754369</v>
      </c>
      <c r="D9" s="6">
        <v>654879</v>
      </c>
      <c r="E9" s="6">
        <v>1023453</v>
      </c>
      <c r="F9" s="6">
        <v>1635423</v>
      </c>
      <c r="G9" s="6">
        <v>1192543</v>
      </c>
      <c r="H9" s="6">
        <v>378112</v>
      </c>
      <c r="I9" s="16">
        <f>SUM(B9:H9)</f>
        <v>9192960</v>
      </c>
    </row>
    <row r="10" spans="1:9" x14ac:dyDescent="0.25">
      <c r="A10" s="13" t="s">
        <v>10</v>
      </c>
      <c r="B10" s="7"/>
      <c r="C10" s="7"/>
      <c r="D10" s="7"/>
      <c r="E10" s="7"/>
      <c r="F10" s="7"/>
      <c r="G10" s="7"/>
      <c r="H10" s="7"/>
      <c r="I10" s="19"/>
    </row>
    <row r="11" spans="1:9" x14ac:dyDescent="0.25">
      <c r="A11" s="5" t="s">
        <v>13</v>
      </c>
      <c r="B11" s="8">
        <v>13417479</v>
      </c>
      <c r="C11" s="8">
        <v>14570422</v>
      </c>
      <c r="D11" s="8">
        <v>1421243</v>
      </c>
      <c r="E11" s="8">
        <v>2159658</v>
      </c>
      <c r="F11" s="8">
        <v>4321638</v>
      </c>
      <c r="G11" s="8">
        <v>5469505</v>
      </c>
      <c r="H11" s="8">
        <v>8951640</v>
      </c>
      <c r="I11" s="16">
        <f>SUM(B11:H11)</f>
        <v>50311585</v>
      </c>
    </row>
    <row r="12" spans="1:9" x14ac:dyDescent="0.25">
      <c r="A12" s="7" t="s">
        <v>7</v>
      </c>
      <c r="B12" s="8">
        <v>2426452</v>
      </c>
      <c r="C12" s="8">
        <v>1667651</v>
      </c>
      <c r="D12" s="8">
        <v>625135</v>
      </c>
      <c r="E12" s="8">
        <v>972380</v>
      </c>
      <c r="F12" s="8">
        <v>1553642</v>
      </c>
      <c r="G12" s="8">
        <v>1132816</v>
      </c>
      <c r="H12" s="8">
        <v>358206</v>
      </c>
      <c r="I12" s="16">
        <f>SUM(B12:H12)</f>
        <v>8736282</v>
      </c>
    </row>
  </sheetData>
  <conditionalFormatting sqref="B5:I1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1AFD-328F-4199-BCA7-D8747191D0DB}">
  <dimension ref="A3:I26"/>
  <sheetViews>
    <sheetView topLeftCell="A10" workbookViewId="0">
      <selection activeCell="B29" sqref="B29"/>
    </sheetView>
  </sheetViews>
  <sheetFormatPr baseColWidth="10" defaultRowHeight="15" x14ac:dyDescent="0.25"/>
  <cols>
    <col min="1" max="1" width="26" customWidth="1"/>
    <col min="2" max="2" width="14.140625" customWidth="1"/>
    <col min="7" max="7" width="10.28515625" customWidth="1"/>
  </cols>
  <sheetData>
    <row r="3" spans="1:9" s="2" customFormat="1" ht="50.25" customHeight="1" x14ac:dyDescent="0.25">
      <c r="A3" s="3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4" t="s">
        <v>11</v>
      </c>
    </row>
    <row r="4" spans="1:9" s="2" customFormat="1" ht="12" customHeight="1" x14ac:dyDescent="0.25">
      <c r="A4" s="12" t="s">
        <v>8</v>
      </c>
      <c r="B4" s="4"/>
      <c r="C4" s="4"/>
      <c r="D4" s="4"/>
      <c r="E4" s="4"/>
      <c r="F4" s="4"/>
      <c r="G4" s="4"/>
      <c r="H4" s="4"/>
      <c r="I4" s="14"/>
    </row>
    <row r="5" spans="1:9" s="1" customFormat="1" x14ac:dyDescent="0.25">
      <c r="A5" s="5" t="s">
        <v>12</v>
      </c>
      <c r="B5" s="6">
        <v>14117676</v>
      </c>
      <c r="C5" s="6">
        <v>15453076</v>
      </c>
      <c r="D5" s="6">
        <v>1196053</v>
      </c>
      <c r="E5" s="6">
        <v>2274104</v>
      </c>
      <c r="F5" s="6">
        <v>4431470</v>
      </c>
      <c r="G5" s="6">
        <v>5678421</v>
      </c>
      <c r="H5" s="6">
        <v>9456784</v>
      </c>
      <c r="I5" s="15">
        <f>SUM(B5:H5)</f>
        <v>52607584</v>
      </c>
    </row>
    <row r="6" spans="1:9" x14ac:dyDescent="0.25">
      <c r="A6" s="7" t="s">
        <v>7</v>
      </c>
      <c r="B6" s="6">
        <f>B5*18%</f>
        <v>2541181.6799999997</v>
      </c>
      <c r="C6" s="6">
        <f>C5*12%</f>
        <v>1854369.1199999999</v>
      </c>
      <c r="D6" s="6">
        <f>D5*45%</f>
        <v>538223.85</v>
      </c>
      <c r="E6" s="6">
        <f>E5*45%</f>
        <v>1023346.8</v>
      </c>
      <c r="F6" s="6">
        <f>F5*37%</f>
        <v>1639643.9</v>
      </c>
      <c r="G6" s="6">
        <f>G5*21%</f>
        <v>1192468.4099999999</v>
      </c>
      <c r="H6" s="6">
        <f>H5*4%</f>
        <v>378271.36</v>
      </c>
      <c r="I6" s="16">
        <f>SUM(B6:H6)</f>
        <v>9167505.1199999992</v>
      </c>
    </row>
    <row r="7" spans="1:9" x14ac:dyDescent="0.25">
      <c r="A7" s="7" t="s">
        <v>20</v>
      </c>
      <c r="B7" s="6">
        <f>B5-B6</f>
        <v>11576494.32</v>
      </c>
      <c r="C7" s="6">
        <f t="shared" ref="C7:I7" si="0">C5-C6</f>
        <v>13598706.880000001</v>
      </c>
      <c r="D7" s="6">
        <f t="shared" si="0"/>
        <v>657829.15</v>
      </c>
      <c r="E7" s="6">
        <f t="shared" si="0"/>
        <v>1250757.2</v>
      </c>
      <c r="F7" s="6">
        <f t="shared" si="0"/>
        <v>2791826.1</v>
      </c>
      <c r="G7" s="6">
        <f t="shared" si="0"/>
        <v>4485952.59</v>
      </c>
      <c r="H7" s="6">
        <f t="shared" si="0"/>
        <v>9078512.6400000006</v>
      </c>
      <c r="I7" s="15">
        <f t="shared" si="0"/>
        <v>43440078.880000003</v>
      </c>
    </row>
    <row r="8" spans="1:9" x14ac:dyDescent="0.25">
      <c r="A8" s="7" t="s">
        <v>18</v>
      </c>
      <c r="B8" s="10">
        <f t="shared" ref="B8:I8" si="1">(B5-B22)/B22</f>
        <v>5.2185436623377608E-2</v>
      </c>
      <c r="C8" s="10">
        <f t="shared" si="1"/>
        <v>6.0578478783936386E-2</v>
      </c>
      <c r="D8" s="10">
        <f t="shared" si="1"/>
        <v>-0.15844581116670409</v>
      </c>
      <c r="E8" s="10">
        <f t="shared" si="1"/>
        <v>5.2992649762138265E-2</v>
      </c>
      <c r="F8" s="10">
        <f t="shared" si="1"/>
        <v>2.5414437766420973E-2</v>
      </c>
      <c r="G8" s="10">
        <f t="shared" si="1"/>
        <v>3.8196509556166415E-2</v>
      </c>
      <c r="H8" s="10">
        <f t="shared" si="1"/>
        <v>5.643033008476659E-2</v>
      </c>
      <c r="I8" s="17">
        <f t="shared" si="1"/>
        <v>4.5635592677114027E-2</v>
      </c>
    </row>
    <row r="9" spans="1:9" x14ac:dyDescent="0.25">
      <c r="A9" s="7" t="s">
        <v>19</v>
      </c>
      <c r="B9" s="10">
        <f>(B6-B23)/B23</f>
        <v>4.728289700352601E-2</v>
      </c>
      <c r="C9" s="10">
        <f t="shared" ref="C9:I9" si="2">(C6-C23)/C23</f>
        <v>0.11196474562123603</v>
      </c>
      <c r="D9" s="10">
        <f t="shared" si="2"/>
        <v>-0.13902780999304154</v>
      </c>
      <c r="E9" s="10">
        <f t="shared" si="2"/>
        <v>5.241448816306387E-2</v>
      </c>
      <c r="F9" s="10">
        <f t="shared" si="2"/>
        <v>5.5355030309427726E-2</v>
      </c>
      <c r="G9" s="10">
        <f t="shared" si="2"/>
        <v>5.2658516475755916E-2</v>
      </c>
      <c r="H9" s="10">
        <f t="shared" si="2"/>
        <v>5.6016258800801737E-2</v>
      </c>
      <c r="I9" s="17">
        <f t="shared" si="2"/>
        <v>4.9360027526583868E-2</v>
      </c>
    </row>
    <row r="10" spans="1:9" x14ac:dyDescent="0.25">
      <c r="A10" s="7" t="s">
        <v>17</v>
      </c>
      <c r="B10" s="11">
        <f t="shared" ref="B10:I10" si="3">B5/B16</f>
        <v>0.9995751814187751</v>
      </c>
      <c r="C10" s="11">
        <f t="shared" si="3"/>
        <v>1</v>
      </c>
      <c r="D10" s="11">
        <f t="shared" si="3"/>
        <v>0.79947662002145659</v>
      </c>
      <c r="E10" s="11">
        <f t="shared" si="3"/>
        <v>1.0002850286084271</v>
      </c>
      <c r="F10" s="11">
        <f t="shared" si="3"/>
        <v>0.99934917268708245</v>
      </c>
      <c r="G10" s="11">
        <f t="shared" si="3"/>
        <v>0.98269338397688233</v>
      </c>
      <c r="H10" s="11">
        <f t="shared" si="3"/>
        <v>1.0036084884485283</v>
      </c>
      <c r="I10" s="18">
        <f t="shared" si="3"/>
        <v>0.99293657671272395</v>
      </c>
    </row>
    <row r="11" spans="1:9" x14ac:dyDescent="0.25">
      <c r="A11" s="7" t="s">
        <v>21</v>
      </c>
      <c r="B11" s="11">
        <f>B6/B17</f>
        <v>0.99491057211685452</v>
      </c>
      <c r="C11" s="11">
        <f t="shared" ref="C11:I11" si="4">C6/C17</f>
        <v>1.0570006195959913</v>
      </c>
      <c r="D11" s="11">
        <f t="shared" si="4"/>
        <v>0.82186762745484276</v>
      </c>
      <c r="E11" s="11">
        <f t="shared" si="4"/>
        <v>0.99989623363261437</v>
      </c>
      <c r="F11" s="11">
        <f t="shared" si="4"/>
        <v>1.0025809224891664</v>
      </c>
      <c r="G11" s="11">
        <f t="shared" si="4"/>
        <v>0.99993745298911652</v>
      </c>
      <c r="H11" s="11">
        <f t="shared" si="4"/>
        <v>1.0004214624238321</v>
      </c>
      <c r="I11" s="18">
        <f t="shared" si="4"/>
        <v>0.99723104636591475</v>
      </c>
    </row>
    <row r="12" spans="1:9" x14ac:dyDescent="0.25">
      <c r="A12" s="7" t="s">
        <v>14</v>
      </c>
      <c r="B12" s="10">
        <f>B6/B7</f>
        <v>0.21951219512195119</v>
      </c>
      <c r="C12" s="10">
        <f t="shared" ref="C12:I12" si="5">C6/C7</f>
        <v>0.13636363636363635</v>
      </c>
      <c r="D12" s="10">
        <f t="shared" si="5"/>
        <v>0.81818181818181812</v>
      </c>
      <c r="E12" s="10">
        <f t="shared" si="5"/>
        <v>0.81818181818181823</v>
      </c>
      <c r="F12" s="10">
        <f t="shared" si="5"/>
        <v>0.58730158730158721</v>
      </c>
      <c r="G12" s="10">
        <f t="shared" si="5"/>
        <v>0.26582278481012656</v>
      </c>
      <c r="H12" s="10">
        <f t="shared" si="5"/>
        <v>4.1666666666666664E-2</v>
      </c>
      <c r="I12" s="17">
        <f t="shared" si="5"/>
        <v>0.21103794828099995</v>
      </c>
    </row>
    <row r="13" spans="1:9" x14ac:dyDescent="0.25">
      <c r="A13" s="7" t="s">
        <v>15</v>
      </c>
      <c r="B13" s="10">
        <f>B6/B5</f>
        <v>0.17999999999999997</v>
      </c>
      <c r="C13" s="10">
        <f t="shared" ref="C13:I13" si="6">C6/C5</f>
        <v>0.12</v>
      </c>
      <c r="D13" s="10">
        <f t="shared" si="6"/>
        <v>0.44999999999999996</v>
      </c>
      <c r="E13" s="10">
        <f t="shared" si="6"/>
        <v>0.45</v>
      </c>
      <c r="F13" s="10">
        <f t="shared" si="6"/>
        <v>0.37</v>
      </c>
      <c r="G13" s="10">
        <f t="shared" si="6"/>
        <v>0.21</v>
      </c>
      <c r="H13" s="10">
        <f t="shared" si="6"/>
        <v>0.04</v>
      </c>
      <c r="I13" s="17">
        <f t="shared" si="6"/>
        <v>0.17426204404292733</v>
      </c>
    </row>
    <row r="14" spans="1:9" x14ac:dyDescent="0.25">
      <c r="A14" s="7" t="s">
        <v>16</v>
      </c>
      <c r="B14" s="10">
        <f>B5/$I$5</f>
        <v>0.26835818957205865</v>
      </c>
      <c r="C14" s="10">
        <f t="shared" ref="C14:I14" si="7">C5/$I$5</f>
        <v>0.2937423623179502</v>
      </c>
      <c r="D14" s="10">
        <f t="shared" si="7"/>
        <v>2.2735372147103354E-2</v>
      </c>
      <c r="E14" s="10">
        <f t="shared" si="7"/>
        <v>4.3227683673897663E-2</v>
      </c>
      <c r="F14" s="10">
        <f t="shared" si="7"/>
        <v>8.4236333681470724E-2</v>
      </c>
      <c r="G14" s="10">
        <f t="shared" si="7"/>
        <v>0.10793920891710214</v>
      </c>
      <c r="H14" s="10">
        <f t="shared" si="7"/>
        <v>0.17976084969041725</v>
      </c>
      <c r="I14" s="17">
        <f t="shared" si="7"/>
        <v>1</v>
      </c>
    </row>
    <row r="15" spans="1:9" x14ac:dyDescent="0.25">
      <c r="A15" s="12" t="s">
        <v>9</v>
      </c>
      <c r="B15" s="9"/>
      <c r="C15" s="9"/>
      <c r="D15" s="9"/>
      <c r="E15" s="9"/>
      <c r="F15" s="9"/>
      <c r="G15" s="9"/>
      <c r="H15" s="9"/>
      <c r="I15" s="19"/>
    </row>
    <row r="16" spans="1:9" x14ac:dyDescent="0.25">
      <c r="A16" s="5" t="s">
        <v>13</v>
      </c>
      <c r="B16" s="6">
        <v>14123676</v>
      </c>
      <c r="C16" s="6">
        <v>15453076</v>
      </c>
      <c r="D16" s="6">
        <v>1496045</v>
      </c>
      <c r="E16" s="6">
        <v>2273456</v>
      </c>
      <c r="F16" s="6">
        <v>4434356</v>
      </c>
      <c r="G16" s="6">
        <v>5778426</v>
      </c>
      <c r="H16" s="6">
        <v>9422782</v>
      </c>
      <c r="I16" s="16">
        <f>SUM(B16:H16)</f>
        <v>52981817</v>
      </c>
    </row>
    <row r="17" spans="1:9" x14ac:dyDescent="0.25">
      <c r="A17" s="7" t="s">
        <v>7</v>
      </c>
      <c r="B17" s="6">
        <v>2554181</v>
      </c>
      <c r="C17" s="6">
        <v>1754369</v>
      </c>
      <c r="D17" s="6">
        <v>654879</v>
      </c>
      <c r="E17" s="6">
        <v>1023453</v>
      </c>
      <c r="F17" s="6">
        <v>1635423</v>
      </c>
      <c r="G17" s="6">
        <v>1192543</v>
      </c>
      <c r="H17" s="6">
        <v>378112</v>
      </c>
      <c r="I17" s="16">
        <f>SUM(B17:H17)</f>
        <v>9192960</v>
      </c>
    </row>
    <row r="18" spans="1:9" x14ac:dyDescent="0.25">
      <c r="A18" s="7" t="s">
        <v>14</v>
      </c>
      <c r="B18" s="10">
        <f>B17/(B16-B17)</f>
        <v>0.22076858151544212</v>
      </c>
      <c r="C18" s="10">
        <f t="shared" ref="C18:I18" si="8">C17/(C16-C17)</f>
        <v>0.1280682184092265</v>
      </c>
      <c r="D18" s="10">
        <f t="shared" si="8"/>
        <v>0.77853717339978079</v>
      </c>
      <c r="E18" s="10">
        <f t="shared" si="8"/>
        <v>0.8187604349749561</v>
      </c>
      <c r="F18" s="10">
        <f t="shared" si="8"/>
        <v>0.58430230377075831</v>
      </c>
      <c r="G18" s="10">
        <f t="shared" si="8"/>
        <v>0.26004653847470593</v>
      </c>
      <c r="H18" s="10">
        <f t="shared" si="8"/>
        <v>4.1804952530053612E-2</v>
      </c>
      <c r="I18" s="17">
        <f t="shared" si="8"/>
        <v>0.20993834116291274</v>
      </c>
    </row>
    <row r="19" spans="1:9" x14ac:dyDescent="0.25">
      <c r="A19" s="7" t="s">
        <v>15</v>
      </c>
      <c r="B19" s="10">
        <f>B17/B16</f>
        <v>0.18084392476859423</v>
      </c>
      <c r="C19" s="10">
        <f t="shared" ref="C19:I19" si="9">C17/C16</f>
        <v>0.11352878870200341</v>
      </c>
      <c r="D19" s="10">
        <f t="shared" si="9"/>
        <v>0.43774017492789319</v>
      </c>
      <c r="E19" s="10">
        <f t="shared" si="9"/>
        <v>0.4501749758957288</v>
      </c>
      <c r="F19" s="10">
        <f t="shared" si="9"/>
        <v>0.36880733076009231</v>
      </c>
      <c r="G19" s="10">
        <f t="shared" si="9"/>
        <v>0.20637851899461895</v>
      </c>
      <c r="H19" s="10">
        <f t="shared" si="9"/>
        <v>4.0127427335154307E-2</v>
      </c>
      <c r="I19" s="17">
        <f t="shared" si="9"/>
        <v>0.17351160304675847</v>
      </c>
    </row>
    <row r="20" spans="1:9" x14ac:dyDescent="0.25">
      <c r="A20" s="7" t="s">
        <v>16</v>
      </c>
      <c r="B20" s="10">
        <f>B16/$I$16</f>
        <v>0.26657590848573576</v>
      </c>
      <c r="C20" s="10">
        <f t="shared" ref="C20:I20" si="10">C16/$I$16</f>
        <v>0.29166753567549408</v>
      </c>
      <c r="D20" s="10">
        <f t="shared" si="10"/>
        <v>2.8236951556417932E-2</v>
      </c>
      <c r="E20" s="10">
        <f t="shared" si="10"/>
        <v>4.2910117635263437E-2</v>
      </c>
      <c r="F20" s="10">
        <f t="shared" si="10"/>
        <v>8.3695808318540676E-2</v>
      </c>
      <c r="G20" s="10">
        <f t="shared" si="10"/>
        <v>0.10906432295442038</v>
      </c>
      <c r="H20" s="10">
        <f t="shared" si="10"/>
        <v>0.17784935537412769</v>
      </c>
      <c r="I20" s="17">
        <f t="shared" si="10"/>
        <v>1</v>
      </c>
    </row>
    <row r="21" spans="1:9" x14ac:dyDescent="0.25">
      <c r="A21" s="13" t="s">
        <v>10</v>
      </c>
      <c r="B21" s="7"/>
      <c r="C21" s="7"/>
      <c r="D21" s="7"/>
      <c r="E21" s="7"/>
      <c r="F21" s="7"/>
      <c r="G21" s="7"/>
      <c r="H21" s="7"/>
      <c r="I21" s="19"/>
    </row>
    <row r="22" spans="1:9" x14ac:dyDescent="0.25">
      <c r="A22" s="5" t="s">
        <v>13</v>
      </c>
      <c r="B22" s="8">
        <v>13417479</v>
      </c>
      <c r="C22" s="8">
        <v>14570422</v>
      </c>
      <c r="D22" s="8">
        <v>1421243</v>
      </c>
      <c r="E22" s="8">
        <v>2159658</v>
      </c>
      <c r="F22" s="8">
        <v>4321638</v>
      </c>
      <c r="G22" s="8">
        <v>5469505</v>
      </c>
      <c r="H22" s="8">
        <v>8951640</v>
      </c>
      <c r="I22" s="16">
        <f>SUM(B22:H22)</f>
        <v>50311585</v>
      </c>
    </row>
    <row r="23" spans="1:9" x14ac:dyDescent="0.25">
      <c r="A23" s="7" t="s">
        <v>7</v>
      </c>
      <c r="B23" s="8">
        <v>2426452</v>
      </c>
      <c r="C23" s="8">
        <v>1667651</v>
      </c>
      <c r="D23" s="8">
        <v>625135</v>
      </c>
      <c r="E23" s="8">
        <v>972380</v>
      </c>
      <c r="F23" s="8">
        <v>1553642</v>
      </c>
      <c r="G23" s="8">
        <v>1132816</v>
      </c>
      <c r="H23" s="8">
        <v>358206</v>
      </c>
      <c r="I23" s="16">
        <f>SUM(B23:H23)</f>
        <v>8736282</v>
      </c>
    </row>
    <row r="24" spans="1:9" x14ac:dyDescent="0.25">
      <c r="A24" s="7" t="s">
        <v>14</v>
      </c>
      <c r="B24" s="10">
        <f>B23/(B22-B23)</f>
        <v>0.22076663081621034</v>
      </c>
      <c r="C24" s="10">
        <f t="shared" ref="C24:I24" si="11">C23/(C22-C23)</f>
        <v>0.12924750815154357</v>
      </c>
      <c r="D24" s="10">
        <f t="shared" si="11"/>
        <v>0.78523893743059991</v>
      </c>
      <c r="E24" s="10">
        <f t="shared" si="11"/>
        <v>0.81899942557682359</v>
      </c>
      <c r="F24" s="10">
        <f t="shared" si="11"/>
        <v>0.56128766082031911</v>
      </c>
      <c r="G24" s="10">
        <f t="shared" si="11"/>
        <v>0.26121679465601522</v>
      </c>
      <c r="H24" s="10">
        <f t="shared" si="11"/>
        <v>4.1683685474281876E-2</v>
      </c>
      <c r="I24" s="17">
        <f t="shared" si="11"/>
        <v>0.21013152928795251</v>
      </c>
    </row>
    <row r="25" spans="1:9" x14ac:dyDescent="0.25">
      <c r="A25" s="7" t="s">
        <v>15</v>
      </c>
      <c r="B25" s="10">
        <f>B23/B22</f>
        <v>0.18084261581478905</v>
      </c>
      <c r="C25" s="10">
        <f t="shared" ref="C25:I25" si="12">C23/C22</f>
        <v>0.11445454359523698</v>
      </c>
      <c r="D25" s="10">
        <f t="shared" si="12"/>
        <v>0.43985089108618303</v>
      </c>
      <c r="E25" s="10">
        <f t="shared" si="12"/>
        <v>0.45024721506831172</v>
      </c>
      <c r="F25" s="10">
        <f t="shared" si="12"/>
        <v>0.35950304028241142</v>
      </c>
      <c r="G25" s="10">
        <f t="shared" si="12"/>
        <v>0.20711490345104355</v>
      </c>
      <c r="H25" s="10">
        <f t="shared" si="12"/>
        <v>4.0015684276847596E-2</v>
      </c>
      <c r="I25" s="17">
        <f t="shared" si="12"/>
        <v>0.17364354551739922</v>
      </c>
    </row>
    <row r="26" spans="1:9" x14ac:dyDescent="0.25">
      <c r="A26" s="7" t="s">
        <v>16</v>
      </c>
      <c r="B26" s="10">
        <f>B22/$I$22</f>
        <v>0.2666876624936384</v>
      </c>
      <c r="C26" s="10">
        <f t="shared" ref="C26:I26" si="13">C22/$I$22</f>
        <v>0.2896037165197638</v>
      </c>
      <c r="D26" s="10">
        <f t="shared" si="13"/>
        <v>2.8248821817082485E-2</v>
      </c>
      <c r="E26" s="10">
        <f t="shared" si="13"/>
        <v>4.2925660163558754E-2</v>
      </c>
      <c r="F26" s="10">
        <f t="shared" si="13"/>
        <v>8.5897472719255422E-2</v>
      </c>
      <c r="G26" s="10">
        <f t="shared" si="13"/>
        <v>0.10871263546954443</v>
      </c>
      <c r="H26" s="10">
        <f t="shared" si="13"/>
        <v>0.17792403081715671</v>
      </c>
      <c r="I26" s="17">
        <f t="shared" si="13"/>
        <v>1</v>
      </c>
    </row>
  </sheetData>
  <conditionalFormatting sqref="B5:I2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8B73E0-5FE5-47BE-837B-A8FDB3B03AE7}"/>
</file>

<file path=customXml/itemProps2.xml><?xml version="1.0" encoding="utf-8"?>
<ds:datastoreItem xmlns:ds="http://schemas.openxmlformats.org/officeDocument/2006/customXml" ds:itemID="{4F9787C2-0884-4941-BF46-6D3C1CDD8E0F}"/>
</file>

<file path=customXml/itemProps3.xml><?xml version="1.0" encoding="utf-8"?>
<ds:datastoreItem xmlns:ds="http://schemas.openxmlformats.org/officeDocument/2006/customXml" ds:itemID="{429B14FD-F17B-41A6-93F1-B32C9A33CB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Énoncé</vt:lpstr>
      <vt:lpstr>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SARAIVA-LAFON AURELIE</cp:lastModifiedBy>
  <dcterms:created xsi:type="dcterms:W3CDTF">2019-01-15T16:21:35Z</dcterms:created>
  <dcterms:modified xsi:type="dcterms:W3CDTF">2021-09-27T12:29:53Z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