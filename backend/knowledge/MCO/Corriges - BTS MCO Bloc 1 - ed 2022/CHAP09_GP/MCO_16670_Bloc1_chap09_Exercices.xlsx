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Livre-Foucher-BTC-MCO-Bloc-edition2\Fichiers Isa\Chap9\"/>
    </mc:Choice>
  </mc:AlternateContent>
  <xr:revisionPtr revIDLastSave="0" documentId="8_{B6073DC0-8D64-423E-81E5-39B7939893B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xercice 1" sheetId="3" r:id="rId1"/>
    <sheet name="Exercice3" sheetId="1" r:id="rId2"/>
    <sheet name="Exercice 4" sheetId="2" r:id="rId3"/>
  </sheets>
  <calcPr calcId="181029"/>
</workbook>
</file>

<file path=xl/calcChain.xml><?xml version="1.0" encoding="utf-8"?>
<calcChain xmlns="http://schemas.openxmlformats.org/spreadsheetml/2006/main">
  <c r="J8" i="3" l="1"/>
  <c r="G8" i="3"/>
  <c r="D8" i="3"/>
  <c r="K8" i="3" s="1"/>
  <c r="J7" i="3"/>
  <c r="G7" i="3"/>
  <c r="D7" i="3"/>
  <c r="J6" i="3"/>
  <c r="G6" i="3"/>
  <c r="D6" i="3"/>
  <c r="J5" i="3"/>
  <c r="G5" i="3"/>
  <c r="D5" i="3"/>
  <c r="K5" i="3" s="1"/>
  <c r="D13" i="2"/>
  <c r="D14" i="2" s="1"/>
  <c r="D15" i="2" s="1"/>
  <c r="D12" i="2"/>
  <c r="D11" i="2"/>
  <c r="D8" i="2"/>
  <c r="D9" i="2" s="1"/>
  <c r="D10" i="2" s="1"/>
  <c r="D7" i="2"/>
  <c r="D6" i="2"/>
  <c r="D5" i="2"/>
  <c r="D4" i="2"/>
  <c r="D7" i="1"/>
  <c r="D8" i="1"/>
  <c r="D9" i="1"/>
  <c r="D10" i="1"/>
  <c r="D11" i="1" s="1"/>
  <c r="D12" i="1" s="1"/>
  <c r="D13" i="1" s="1"/>
  <c r="D14" i="1" s="1"/>
  <c r="D15" i="1" s="1"/>
  <c r="D16" i="1" s="1"/>
  <c r="D6" i="1"/>
  <c r="D5" i="1"/>
  <c r="D4" i="1"/>
  <c r="C16" i="1"/>
  <c r="C7" i="1"/>
  <c r="C8" i="1"/>
  <c r="C9" i="1"/>
  <c r="C10" i="1"/>
  <c r="C11" i="1"/>
  <c r="C12" i="1"/>
  <c r="C13" i="1"/>
  <c r="C14" i="1"/>
  <c r="C15" i="1"/>
  <c r="C5" i="1"/>
  <c r="C6" i="1"/>
  <c r="C4" i="1"/>
  <c r="B5" i="2"/>
  <c r="B6" i="2"/>
  <c r="B7" i="2"/>
  <c r="B8" i="2"/>
  <c r="B9" i="2"/>
  <c r="B10" i="2"/>
  <c r="B11" i="2"/>
  <c r="B12" i="2"/>
  <c r="B13" i="2"/>
  <c r="B14" i="2"/>
  <c r="B15" i="2"/>
  <c r="B4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F8" i="2"/>
  <c r="F12" i="2"/>
  <c r="F4" i="2"/>
  <c r="G4" i="2" s="1"/>
  <c r="E7" i="1"/>
  <c r="E8" i="1"/>
  <c r="E11" i="1"/>
  <c r="E12" i="1"/>
  <c r="E15" i="1"/>
  <c r="E16" i="1"/>
  <c r="B17" i="1"/>
  <c r="E5" i="1" s="1"/>
  <c r="E17" i="2"/>
  <c r="F5" i="2" s="1"/>
  <c r="K7" i="3" l="1"/>
  <c r="K6" i="3"/>
  <c r="H5" i="2"/>
  <c r="G5" i="2"/>
  <c r="H4" i="2"/>
  <c r="E14" i="1"/>
  <c r="E10" i="1"/>
  <c r="E6" i="1"/>
  <c r="F14" i="2"/>
  <c r="F10" i="2"/>
  <c r="F6" i="2"/>
  <c r="F15" i="2"/>
  <c r="F11" i="2"/>
  <c r="F7" i="2"/>
  <c r="E4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E13" i="1"/>
  <c r="E9" i="1"/>
  <c r="F13" i="2"/>
  <c r="F9" i="2"/>
  <c r="H11" i="2" l="1"/>
  <c r="H12" i="2"/>
  <c r="H13" i="2" s="1"/>
  <c r="H14" i="2" s="1"/>
  <c r="H15" i="2" s="1"/>
  <c r="G6" i="2"/>
  <c r="G7" i="2" s="1"/>
  <c r="G8" i="2" s="1"/>
  <c r="G9" i="2" s="1"/>
  <c r="G10" i="2" s="1"/>
  <c r="G11" i="2" s="1"/>
  <c r="G12" i="2" s="1"/>
  <c r="G13" i="2" s="1"/>
  <c r="G14" i="2" s="1"/>
  <c r="G15" i="2" s="1"/>
  <c r="F14" i="1"/>
  <c r="F15" i="1" s="1"/>
  <c r="F16" i="1" s="1"/>
  <c r="H7" i="2"/>
  <c r="H8" i="2" s="1"/>
  <c r="H9" i="2" s="1"/>
  <c r="H10" i="2" s="1"/>
  <c r="H6" i="2"/>
</calcChain>
</file>

<file path=xl/sharedStrings.xml><?xml version="1.0" encoding="utf-8"?>
<sst xmlns="http://schemas.openxmlformats.org/spreadsheetml/2006/main" count="78" uniqueCount="58">
  <si>
    <t>Les clients</t>
  </si>
  <si>
    <t>Durand</t>
  </si>
  <si>
    <t>Marcan</t>
  </si>
  <si>
    <t>Lecoffre</t>
  </si>
  <si>
    <t>Ming</t>
  </si>
  <si>
    <t>Lenotre</t>
  </si>
  <si>
    <t>SARL Jouau</t>
  </si>
  <si>
    <t>Allibert</t>
  </si>
  <si>
    <t>Peruchet</t>
  </si>
  <si>
    <t>Kong</t>
  </si>
  <si>
    <t>Lavigne</t>
  </si>
  <si>
    <t>Dubout</t>
  </si>
  <si>
    <t>SAS Pong</t>
  </si>
  <si>
    <t>Joubert et frères</t>
  </si>
  <si>
    <t xml:space="preserve">CA réalisé en euros </t>
  </si>
  <si>
    <t>Druon</t>
  </si>
  <si>
    <t>Michel</t>
  </si>
  <si>
    <t>Arvis</t>
  </si>
  <si>
    <t>Martin</t>
  </si>
  <si>
    <t>Dupont</t>
  </si>
  <si>
    <t>Benoit</t>
  </si>
  <si>
    <t>Leger</t>
  </si>
  <si>
    <t>Chalais</t>
  </si>
  <si>
    <t>Rivoire</t>
  </si>
  <si>
    <t>Akkaya</t>
  </si>
  <si>
    <t>Grandjean</t>
  </si>
  <si>
    <t>Villany</t>
  </si>
  <si>
    <t>Total</t>
  </si>
  <si>
    <t>CA en %</t>
  </si>
  <si>
    <t>CA en % cumulé</t>
  </si>
  <si>
    <t xml:space="preserve">Total </t>
  </si>
  <si>
    <t>3 clients, soit 23 % des clients représentent environ 80 % du CA</t>
  </si>
  <si>
    <t xml:space="preserve">=&gt; il faut donc suivre particulièrement Lavigne, Ming et Allibert. </t>
  </si>
  <si>
    <t xml:space="preserve">nom </t>
  </si>
  <si>
    <t>CA</t>
  </si>
  <si>
    <t>client en %</t>
  </si>
  <si>
    <t>A</t>
  </si>
  <si>
    <t>B</t>
  </si>
  <si>
    <t>C</t>
  </si>
  <si>
    <t xml:space="preserve">Segmentation ABC </t>
  </si>
  <si>
    <t>Segmentation Pareto</t>
  </si>
  <si>
    <t>Clients en %</t>
  </si>
  <si>
    <t>Clients en % cumulés</t>
  </si>
  <si>
    <t>client % cumulé</t>
  </si>
  <si>
    <t xml:space="preserve">CA en % cumulé/groupe </t>
  </si>
  <si>
    <t xml:space="preserve">client % cumulé/groupe </t>
  </si>
  <si>
    <t>Groupes de clientS</t>
  </si>
  <si>
    <t xml:space="preserve">pondération </t>
  </si>
  <si>
    <t xml:space="preserve">montants </t>
  </si>
  <si>
    <t xml:space="preserve">points </t>
  </si>
  <si>
    <t xml:space="preserve">ancienneté </t>
  </si>
  <si>
    <t xml:space="preserve">fréquence </t>
  </si>
  <si>
    <t>D</t>
  </si>
  <si>
    <t xml:space="preserve">Montant </t>
  </si>
  <si>
    <t>Récence</t>
  </si>
  <si>
    <t xml:space="preserve">Score </t>
  </si>
  <si>
    <t>Exercice 3</t>
  </si>
  <si>
    <t>Exercice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</si>
</sst>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justify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3" fontId="0" fillId="0" borderId="0" xfId="0" applyNumberFormat="1" applyAlignment="1">
      <alignment horizontal="center"/>
    </xf>
    <xf numFmtId="0" fontId="0" fillId="0" borderId="0" xfId="0" applyFill="1" applyBorder="1" applyAlignment="1">
      <alignment vertical="top"/>
    </xf>
    <xf numFmtId="0" fontId="0" fillId="0" borderId="0" xfId="0" quotePrefix="1"/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justify" vertical="top" wrapText="1"/>
    </xf>
    <xf numFmtId="0" fontId="0" fillId="0" borderId="0" xfId="0" applyFill="1" applyBorder="1" applyAlignment="1">
      <alignment horizontal="justify" vertical="top" wrapText="1"/>
    </xf>
    <xf numFmtId="0" fontId="1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2" borderId="2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3" fontId="0" fillId="2" borderId="2" xfId="0" applyNumberFormat="1" applyFill="1" applyBorder="1" applyAlignment="1">
      <alignment horizontal="center" vertical="top" wrapText="1"/>
    </xf>
    <xf numFmtId="164" fontId="0" fillId="2" borderId="2" xfId="1" applyNumberFormat="1" applyFont="1" applyFill="1" applyBorder="1" applyAlignment="1">
      <alignment horizontal="center" vertical="top" wrapText="1"/>
    </xf>
    <xf numFmtId="10" fontId="0" fillId="2" borderId="2" xfId="1" applyNumberFormat="1" applyFont="1" applyFill="1" applyBorder="1" applyAlignment="1">
      <alignment horizontal="center" vertical="top" wrapText="1"/>
    </xf>
    <xf numFmtId="10" fontId="0" fillId="0" borderId="2" xfId="1" applyNumberFormat="1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justify" vertical="top" wrapText="1"/>
    </xf>
    <xf numFmtId="10" fontId="0" fillId="3" borderId="2" xfId="0" applyNumberFormat="1" applyFill="1" applyBorder="1" applyAlignment="1">
      <alignment horizontal="center" vertical="top" wrapText="1"/>
    </xf>
    <xf numFmtId="3" fontId="0" fillId="3" borderId="2" xfId="0" applyNumberFormat="1" applyFill="1" applyBorder="1" applyAlignment="1">
      <alignment horizontal="center" vertical="top" wrapText="1"/>
    </xf>
    <xf numFmtId="10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justify" vertical="top" wrapText="1"/>
    </xf>
    <xf numFmtId="10" fontId="0" fillId="2" borderId="2" xfId="0" applyNumberForma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justify" vertical="top" wrapText="1"/>
    </xf>
    <xf numFmtId="10" fontId="0" fillId="4" borderId="2" xfId="0" applyNumberForma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10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Exercice3!$B$3</c:f>
              <c:strCache>
                <c:ptCount val="1"/>
                <c:pt idx="0">
                  <c:v>CA réalisé en euros </c:v>
                </c:pt>
              </c:strCache>
            </c:strRef>
          </c:tx>
          <c:invertIfNegative val="0"/>
          <c:cat>
            <c:strRef>
              <c:f>Exercice3!$A$4:$A$16</c:f>
              <c:strCache>
                <c:ptCount val="13"/>
                <c:pt idx="0">
                  <c:v>Lavigne</c:v>
                </c:pt>
                <c:pt idx="1">
                  <c:v>Ming</c:v>
                </c:pt>
                <c:pt idx="2">
                  <c:v>Allibert</c:v>
                </c:pt>
                <c:pt idx="3">
                  <c:v>Lecoffre</c:v>
                </c:pt>
                <c:pt idx="4">
                  <c:v>Marcan</c:v>
                </c:pt>
                <c:pt idx="5">
                  <c:v>Durand</c:v>
                </c:pt>
                <c:pt idx="6">
                  <c:v>Lenotre</c:v>
                </c:pt>
                <c:pt idx="7">
                  <c:v>Peruchet</c:v>
                </c:pt>
                <c:pt idx="8">
                  <c:v>Joubert et frères</c:v>
                </c:pt>
                <c:pt idx="9">
                  <c:v>Dubout</c:v>
                </c:pt>
                <c:pt idx="10">
                  <c:v>Kong</c:v>
                </c:pt>
                <c:pt idx="11">
                  <c:v>SARL Jouau</c:v>
                </c:pt>
                <c:pt idx="12">
                  <c:v>SAS Pong</c:v>
                </c:pt>
              </c:strCache>
            </c:strRef>
          </c:cat>
          <c:val>
            <c:numRef>
              <c:f>Exercice3!$B$4:$B$16</c:f>
              <c:numCache>
                <c:formatCode>#,##0</c:formatCode>
                <c:ptCount val="13"/>
                <c:pt idx="0">
                  <c:v>208767</c:v>
                </c:pt>
                <c:pt idx="1">
                  <c:v>201345</c:v>
                </c:pt>
                <c:pt idx="2">
                  <c:v>150790</c:v>
                </c:pt>
                <c:pt idx="3">
                  <c:v>43100</c:v>
                </c:pt>
                <c:pt idx="4">
                  <c:v>41865</c:v>
                </c:pt>
                <c:pt idx="5">
                  <c:v>22509</c:v>
                </c:pt>
                <c:pt idx="6">
                  <c:v>12980</c:v>
                </c:pt>
                <c:pt idx="7">
                  <c:v>11654</c:v>
                </c:pt>
                <c:pt idx="8">
                  <c:v>3425</c:v>
                </c:pt>
                <c:pt idx="9">
                  <c:v>2345</c:v>
                </c:pt>
                <c:pt idx="10">
                  <c:v>2000</c:v>
                </c:pt>
                <c:pt idx="11">
                  <c:v>1200</c:v>
                </c:pt>
                <c:pt idx="12" formatCode="General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4-4548-8347-DD4C2590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91872"/>
        <c:axId val="62066688"/>
      </c:barChart>
      <c:lineChart>
        <c:grouping val="standard"/>
        <c:varyColors val="0"/>
        <c:ser>
          <c:idx val="2"/>
          <c:order val="1"/>
          <c:tx>
            <c:strRef>
              <c:f>Exercice3!$F$3</c:f>
              <c:strCache>
                <c:ptCount val="1"/>
                <c:pt idx="0">
                  <c:v>CA en % cumulé</c:v>
                </c:pt>
              </c:strCache>
            </c:strRef>
          </c:tx>
          <c:marker>
            <c:symbol val="none"/>
          </c:marker>
          <c:cat>
            <c:strRef>
              <c:f>Exercice3!$A$4:$A$16</c:f>
              <c:strCache>
                <c:ptCount val="13"/>
                <c:pt idx="0">
                  <c:v>Lavigne</c:v>
                </c:pt>
                <c:pt idx="1">
                  <c:v>Ming</c:v>
                </c:pt>
                <c:pt idx="2">
                  <c:v>Allibert</c:v>
                </c:pt>
                <c:pt idx="3">
                  <c:v>Lecoffre</c:v>
                </c:pt>
                <c:pt idx="4">
                  <c:v>Marcan</c:v>
                </c:pt>
                <c:pt idx="5">
                  <c:v>Durand</c:v>
                </c:pt>
                <c:pt idx="6">
                  <c:v>Lenotre</c:v>
                </c:pt>
                <c:pt idx="7">
                  <c:v>Peruchet</c:v>
                </c:pt>
                <c:pt idx="8">
                  <c:v>Joubert et frères</c:v>
                </c:pt>
                <c:pt idx="9">
                  <c:v>Dubout</c:v>
                </c:pt>
                <c:pt idx="10">
                  <c:v>Kong</c:v>
                </c:pt>
                <c:pt idx="11">
                  <c:v>SARL Jouau</c:v>
                </c:pt>
                <c:pt idx="12">
                  <c:v>SAS Pong</c:v>
                </c:pt>
              </c:strCache>
            </c:strRef>
          </c:cat>
          <c:val>
            <c:numRef>
              <c:f>Exercice3!$F$4:$F$16</c:f>
              <c:numCache>
                <c:formatCode>0.00%</c:formatCode>
                <c:ptCount val="13"/>
                <c:pt idx="0">
                  <c:v>0.29706347320385501</c:v>
                </c:pt>
                <c:pt idx="1">
                  <c:v>0.58356586588196113</c:v>
                </c:pt>
                <c:pt idx="2">
                  <c:v>0.7981313916806233</c:v>
                </c:pt>
                <c:pt idx="3">
                  <c:v>0.85946022092607954</c:v>
                </c:pt>
                <c:pt idx="4">
                  <c:v>0.9190317159692587</c:v>
                </c:pt>
                <c:pt idx="5">
                  <c:v>0.951060732616265</c:v>
                </c:pt>
                <c:pt idx="6">
                  <c:v>0.96953052852359733</c:v>
                </c:pt>
                <c:pt idx="7">
                  <c:v>0.98611350244532692</c:v>
                </c:pt>
                <c:pt idx="8">
                  <c:v>0.99098708110346356</c:v>
                </c:pt>
                <c:pt idx="9">
                  <c:v>0.99432388167377894</c:v>
                </c:pt>
                <c:pt idx="10">
                  <c:v>0.99716976702159599</c:v>
                </c:pt>
                <c:pt idx="11">
                  <c:v>0.99887729823028615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4-4548-8347-DD4C2590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69760"/>
        <c:axId val="62068224"/>
      </c:lineChart>
      <c:catAx>
        <c:axId val="6219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/>
          <a:lstStyle/>
          <a:p>
            <a:pPr>
              <a:defRPr/>
            </a:pPr>
            <a:endParaRPr lang="fr-FR"/>
          </a:p>
        </c:txPr>
        <c:crossAx val="62066688"/>
        <c:crosses val="autoZero"/>
        <c:auto val="1"/>
        <c:lblAlgn val="ctr"/>
        <c:lblOffset val="100"/>
        <c:tickLblSkip val="1"/>
        <c:noMultiLvlLbl val="0"/>
      </c:catAx>
      <c:valAx>
        <c:axId val="620666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62191872"/>
        <c:crosses val="autoZero"/>
        <c:crossBetween val="between"/>
      </c:valAx>
      <c:valAx>
        <c:axId val="620682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62069760"/>
        <c:crosses val="max"/>
        <c:crossBetween val="between"/>
      </c:valAx>
      <c:catAx>
        <c:axId val="6206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20682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Clients classés par 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'Exercice 4'!$E$3</c:f>
              <c:strCache>
                <c:ptCount val="1"/>
                <c:pt idx="0">
                  <c:v>CA</c:v>
                </c:pt>
              </c:strCache>
            </c:strRef>
          </c:tx>
          <c:invertIfNegative val="0"/>
          <c:cat>
            <c:strRef>
              <c:f>'Exercice 4'!$A$4:$A$15</c:f>
              <c:strCache>
                <c:ptCount val="12"/>
                <c:pt idx="0">
                  <c:v>Leger</c:v>
                </c:pt>
                <c:pt idx="1">
                  <c:v>Dupont</c:v>
                </c:pt>
                <c:pt idx="2">
                  <c:v>Michel</c:v>
                </c:pt>
                <c:pt idx="3">
                  <c:v>Akkaya</c:v>
                </c:pt>
                <c:pt idx="4">
                  <c:v>Villany</c:v>
                </c:pt>
                <c:pt idx="5">
                  <c:v>Martin</c:v>
                </c:pt>
                <c:pt idx="6">
                  <c:v>Druon</c:v>
                </c:pt>
                <c:pt idx="7">
                  <c:v>Benoit</c:v>
                </c:pt>
                <c:pt idx="8">
                  <c:v>Chalais</c:v>
                </c:pt>
                <c:pt idx="9">
                  <c:v>Rivoire</c:v>
                </c:pt>
                <c:pt idx="10">
                  <c:v>Grandjean</c:v>
                </c:pt>
                <c:pt idx="11">
                  <c:v>Arvis</c:v>
                </c:pt>
              </c:strCache>
            </c:strRef>
          </c:cat>
          <c:val>
            <c:numRef>
              <c:f>'Exercice 4'!$E$4:$E$15</c:f>
              <c:numCache>
                <c:formatCode>#,##0</c:formatCode>
                <c:ptCount val="12"/>
                <c:pt idx="0">
                  <c:v>1567</c:v>
                </c:pt>
                <c:pt idx="1">
                  <c:v>1560</c:v>
                </c:pt>
                <c:pt idx="2" formatCode="General">
                  <c:v>950</c:v>
                </c:pt>
                <c:pt idx="3" formatCode="General">
                  <c:v>897</c:v>
                </c:pt>
                <c:pt idx="4" formatCode="General">
                  <c:v>732</c:v>
                </c:pt>
                <c:pt idx="5" formatCode="General">
                  <c:v>455</c:v>
                </c:pt>
                <c:pt idx="6" formatCode="General">
                  <c:v>376</c:v>
                </c:pt>
                <c:pt idx="7" formatCode="General">
                  <c:v>113</c:v>
                </c:pt>
                <c:pt idx="8" formatCode="General">
                  <c:v>111</c:v>
                </c:pt>
                <c:pt idx="9" formatCode="General">
                  <c:v>98</c:v>
                </c:pt>
                <c:pt idx="10" formatCode="General">
                  <c:v>76</c:v>
                </c:pt>
                <c:pt idx="11" formatCode="General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1-40FA-BA8F-0090DBFCF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16608"/>
        <c:axId val="62118144"/>
      </c:barChart>
      <c:lineChart>
        <c:grouping val="standard"/>
        <c:varyColors val="0"/>
        <c:ser>
          <c:idx val="4"/>
          <c:order val="1"/>
          <c:tx>
            <c:strRef>
              <c:f>'Exercice 4'!$G$3</c:f>
              <c:strCache>
                <c:ptCount val="1"/>
                <c:pt idx="0">
                  <c:v>CA en % cumulé</c:v>
                </c:pt>
              </c:strCache>
            </c:strRef>
          </c:tx>
          <c:marker>
            <c:symbol val="none"/>
          </c:marker>
          <c:cat>
            <c:strRef>
              <c:f>'Exercice 4'!$A$4:$A$15</c:f>
              <c:strCache>
                <c:ptCount val="12"/>
                <c:pt idx="0">
                  <c:v>Leger</c:v>
                </c:pt>
                <c:pt idx="1">
                  <c:v>Dupont</c:v>
                </c:pt>
                <c:pt idx="2">
                  <c:v>Michel</c:v>
                </c:pt>
                <c:pt idx="3">
                  <c:v>Akkaya</c:v>
                </c:pt>
                <c:pt idx="4">
                  <c:v>Villany</c:v>
                </c:pt>
                <c:pt idx="5">
                  <c:v>Martin</c:v>
                </c:pt>
                <c:pt idx="6">
                  <c:v>Druon</c:v>
                </c:pt>
                <c:pt idx="7">
                  <c:v>Benoit</c:v>
                </c:pt>
                <c:pt idx="8">
                  <c:v>Chalais</c:v>
                </c:pt>
                <c:pt idx="9">
                  <c:v>Rivoire</c:v>
                </c:pt>
                <c:pt idx="10">
                  <c:v>Grandjean</c:v>
                </c:pt>
                <c:pt idx="11">
                  <c:v>Arvis</c:v>
                </c:pt>
              </c:strCache>
            </c:strRef>
          </c:cat>
          <c:val>
            <c:numRef>
              <c:f>'Exercice 4'!$G$4:$G$15</c:f>
              <c:numCache>
                <c:formatCode>0.00%</c:formatCode>
                <c:ptCount val="12"/>
                <c:pt idx="0">
                  <c:v>0.22408122408122408</c:v>
                </c:pt>
                <c:pt idx="1">
                  <c:v>0.44716144716144712</c:v>
                </c:pt>
                <c:pt idx="2">
                  <c:v>0.58301158301158296</c:v>
                </c:pt>
                <c:pt idx="3">
                  <c:v>0.71128271128271126</c:v>
                </c:pt>
                <c:pt idx="4">
                  <c:v>0.81595881595881592</c:v>
                </c:pt>
                <c:pt idx="5">
                  <c:v>0.88102388102388096</c:v>
                </c:pt>
                <c:pt idx="6">
                  <c:v>0.93479193479193468</c:v>
                </c:pt>
                <c:pt idx="7">
                  <c:v>0.95095095095095084</c:v>
                </c:pt>
                <c:pt idx="8">
                  <c:v>0.96682396682396665</c:v>
                </c:pt>
                <c:pt idx="9">
                  <c:v>0.98083798083798068</c:v>
                </c:pt>
                <c:pt idx="10">
                  <c:v>0.9917059917059915</c:v>
                </c:pt>
                <c:pt idx="11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F1-40FA-BA8F-0090DBFCF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53952"/>
        <c:axId val="62652416"/>
      </c:lineChart>
      <c:catAx>
        <c:axId val="62116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62118144"/>
        <c:crosses val="autoZero"/>
        <c:auto val="1"/>
        <c:lblAlgn val="ctr"/>
        <c:lblOffset val="100"/>
        <c:noMultiLvlLbl val="0"/>
      </c:catAx>
      <c:valAx>
        <c:axId val="62118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62116608"/>
        <c:crosses val="autoZero"/>
        <c:crossBetween val="between"/>
      </c:valAx>
      <c:valAx>
        <c:axId val="6265241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62653952"/>
        <c:crosses val="max"/>
        <c:crossBetween val="between"/>
      </c:valAx>
      <c:catAx>
        <c:axId val="6265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265241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8</xdr:row>
      <xdr:rowOff>76201</xdr:rowOff>
    </xdr:from>
    <xdr:to>
      <xdr:col>8</xdr:col>
      <xdr:colOff>457200</xdr:colOff>
      <xdr:row>10</xdr:row>
      <xdr:rowOff>171451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4A9AE24-A3FA-418C-ABEB-DE3583E7DC30}"/>
            </a:ext>
          </a:extLst>
        </xdr:cNvPr>
        <xdr:cNvSpPr txBox="1"/>
      </xdr:nvSpPr>
      <xdr:spPr>
        <a:xfrm>
          <a:off x="447675" y="1600201"/>
          <a:ext cx="522922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/>
            <a:t>C'est  le segment</a:t>
          </a:r>
          <a:r>
            <a:rPr lang="fr-FR" sz="1100" baseline="0"/>
            <a:t> de clientèle C qu'il faudra contacter. 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21</xdr:row>
      <xdr:rowOff>142875</xdr:rowOff>
    </xdr:from>
    <xdr:to>
      <xdr:col>6</xdr:col>
      <xdr:colOff>438150</xdr:colOff>
      <xdr:row>36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18</xdr:row>
      <xdr:rowOff>104775</xdr:rowOff>
    </xdr:from>
    <xdr:to>
      <xdr:col>7</xdr:col>
      <xdr:colOff>171450</xdr:colOff>
      <xdr:row>32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1F4B-1797-49AC-9613-12CF9E3059EE}">
  <dimension ref="A2:K8"/>
  <sheetViews>
    <sheetView workbookViewId="0">
      <selection activeCell="F15" sqref="F15"/>
    </sheetView>
  </sheetViews>
  <sheetFormatPr baseColWidth="10" defaultRowHeight="15" x14ac:dyDescent="0.25"/>
  <sheetData>
    <row r="2" spans="1:11" x14ac:dyDescent="0.25">
      <c r="A2" s="41"/>
      <c r="B2" s="45" t="s">
        <v>53</v>
      </c>
      <c r="C2" s="45"/>
      <c r="D2" s="45"/>
      <c r="E2" s="45" t="s">
        <v>54</v>
      </c>
      <c r="F2" s="45"/>
      <c r="G2" s="45"/>
      <c r="H2" s="45" t="s">
        <v>51</v>
      </c>
      <c r="I2" s="45"/>
      <c r="J2" s="45"/>
      <c r="K2" s="46" t="s">
        <v>55</v>
      </c>
    </row>
    <row r="3" spans="1:11" x14ac:dyDescent="0.25">
      <c r="A3" s="42"/>
      <c r="B3" s="44" t="s">
        <v>48</v>
      </c>
      <c r="C3" s="44" t="s">
        <v>49</v>
      </c>
      <c r="D3" s="40" t="s">
        <v>47</v>
      </c>
      <c r="E3" s="47" t="s">
        <v>50</v>
      </c>
      <c r="F3" s="47" t="s">
        <v>49</v>
      </c>
      <c r="G3" s="40" t="s">
        <v>47</v>
      </c>
      <c r="H3" s="47" t="s">
        <v>51</v>
      </c>
      <c r="I3" s="47" t="s">
        <v>49</v>
      </c>
      <c r="J3" s="40" t="s">
        <v>47</v>
      </c>
      <c r="K3" s="46"/>
    </row>
    <row r="4" spans="1:11" x14ac:dyDescent="0.25">
      <c r="A4" s="43"/>
      <c r="B4" s="44"/>
      <c r="C4" s="44"/>
      <c r="D4" s="16">
        <v>0.35</v>
      </c>
      <c r="E4" s="48"/>
      <c r="F4" s="48"/>
      <c r="G4" s="16">
        <v>0.5</v>
      </c>
      <c r="H4" s="48"/>
      <c r="I4" s="48"/>
      <c r="J4" s="16">
        <v>0.15</v>
      </c>
      <c r="K4" s="16" t="s">
        <v>30</v>
      </c>
    </row>
    <row r="5" spans="1:11" x14ac:dyDescent="0.25">
      <c r="A5" s="12" t="s">
        <v>36</v>
      </c>
      <c r="B5" s="16">
        <v>53</v>
      </c>
      <c r="C5" s="16">
        <v>6</v>
      </c>
      <c r="D5" s="34">
        <f>C5*$D$4</f>
        <v>2.0999999999999996</v>
      </c>
      <c r="E5" s="16">
        <v>10</v>
      </c>
      <c r="F5" s="16">
        <v>6</v>
      </c>
      <c r="G5" s="34">
        <f>F5*$G$4</f>
        <v>3</v>
      </c>
      <c r="H5" s="16">
        <v>1</v>
      </c>
      <c r="I5" s="16">
        <v>3</v>
      </c>
      <c r="J5" s="34">
        <f>I5*$J$4</f>
        <v>0.44999999999999996</v>
      </c>
      <c r="K5" s="16">
        <f>D5+G5+J5</f>
        <v>5.55</v>
      </c>
    </row>
    <row r="6" spans="1:11" x14ac:dyDescent="0.25">
      <c r="A6" s="12" t="s">
        <v>37</v>
      </c>
      <c r="B6" s="16">
        <v>25</v>
      </c>
      <c r="C6" s="16">
        <v>1</v>
      </c>
      <c r="D6" s="34">
        <f t="shared" ref="D6:D8" si="0">C6*$D$4</f>
        <v>0.35</v>
      </c>
      <c r="E6" s="16">
        <v>6</v>
      </c>
      <c r="F6" s="16">
        <v>9</v>
      </c>
      <c r="G6" s="34">
        <f t="shared" ref="G6:G8" si="1">F6*$G$4</f>
        <v>4.5</v>
      </c>
      <c r="H6" s="16">
        <v>3</v>
      </c>
      <c r="I6" s="16">
        <v>9</v>
      </c>
      <c r="J6" s="34">
        <f t="shared" ref="J6:J8" si="2">I6*$J$4</f>
        <v>1.3499999999999999</v>
      </c>
      <c r="K6" s="16">
        <f t="shared" ref="K6:K8" si="3">D6+G6+J6</f>
        <v>6.1999999999999993</v>
      </c>
    </row>
    <row r="7" spans="1:11" x14ac:dyDescent="0.25">
      <c r="A7" s="12" t="s">
        <v>38</v>
      </c>
      <c r="B7" s="16">
        <v>88</v>
      </c>
      <c r="C7" s="16">
        <v>9</v>
      </c>
      <c r="D7" s="34">
        <f t="shared" si="0"/>
        <v>3.15</v>
      </c>
      <c r="E7" s="16">
        <v>3</v>
      </c>
      <c r="F7" s="16">
        <v>12</v>
      </c>
      <c r="G7" s="34">
        <f t="shared" si="1"/>
        <v>6</v>
      </c>
      <c r="H7" s="16">
        <v>2</v>
      </c>
      <c r="I7" s="16">
        <v>6</v>
      </c>
      <c r="J7" s="34">
        <f t="shared" si="2"/>
        <v>0.89999999999999991</v>
      </c>
      <c r="K7" s="16">
        <f t="shared" si="3"/>
        <v>10.050000000000001</v>
      </c>
    </row>
    <row r="8" spans="1:11" x14ac:dyDescent="0.25">
      <c r="A8" s="12" t="s">
        <v>52</v>
      </c>
      <c r="B8" s="16">
        <v>112</v>
      </c>
      <c r="C8" s="16">
        <v>12</v>
      </c>
      <c r="D8" s="34">
        <f t="shared" si="0"/>
        <v>4.1999999999999993</v>
      </c>
      <c r="E8" s="16">
        <v>15</v>
      </c>
      <c r="F8" s="16">
        <v>3</v>
      </c>
      <c r="G8" s="34">
        <f t="shared" si="1"/>
        <v>1.5</v>
      </c>
      <c r="H8" s="16">
        <v>1</v>
      </c>
      <c r="I8" s="16">
        <v>3</v>
      </c>
      <c r="J8" s="34">
        <f t="shared" si="2"/>
        <v>0.44999999999999996</v>
      </c>
      <c r="K8" s="16">
        <f t="shared" si="3"/>
        <v>6.1499999999999995</v>
      </c>
    </row>
  </sheetData>
  <mergeCells count="11">
    <mergeCell ref="H2:J2"/>
    <mergeCell ref="K2:K3"/>
    <mergeCell ref="E3:E4"/>
    <mergeCell ref="F3:F4"/>
    <mergeCell ref="H3:H4"/>
    <mergeCell ref="I3:I4"/>
    <mergeCell ref="A2:A4"/>
    <mergeCell ref="B3:B4"/>
    <mergeCell ref="C3:C4"/>
    <mergeCell ref="B2:D2"/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workbookViewId="0"/>
  </sheetViews>
  <sheetFormatPr baseColWidth="10" defaultRowHeight="15" x14ac:dyDescent="0.25"/>
  <cols>
    <col min="1" max="1" width="17.7109375" customWidth="1"/>
    <col min="2" max="2" width="20" customWidth="1"/>
    <col min="3" max="3" width="14.85546875" customWidth="1"/>
    <col min="4" max="4" width="15.7109375" customWidth="1"/>
    <col min="5" max="5" width="11.42578125" customWidth="1"/>
    <col min="6" max="6" width="15.7109375" customWidth="1"/>
  </cols>
  <sheetData>
    <row r="1" spans="1:6" x14ac:dyDescent="0.25">
      <c r="A1" s="18" t="s">
        <v>56</v>
      </c>
      <c r="B1" s="18" t="s">
        <v>40</v>
      </c>
      <c r="C1" s="18"/>
      <c r="D1" s="18"/>
    </row>
    <row r="3" spans="1:6" ht="30" x14ac:dyDescent="0.25">
      <c r="A3" s="17" t="s">
        <v>0</v>
      </c>
      <c r="B3" s="17" t="s">
        <v>14</v>
      </c>
      <c r="C3" s="17" t="s">
        <v>41</v>
      </c>
      <c r="D3" s="17" t="s">
        <v>42</v>
      </c>
      <c r="E3" s="19" t="s">
        <v>28</v>
      </c>
      <c r="F3" s="19" t="s">
        <v>29</v>
      </c>
    </row>
    <row r="4" spans="1:6" x14ac:dyDescent="0.25">
      <c r="A4" s="21" t="s">
        <v>10</v>
      </c>
      <c r="B4" s="22">
        <v>208767</v>
      </c>
      <c r="C4" s="23">
        <f>1/13</f>
        <v>7.6923076923076927E-2</v>
      </c>
      <c r="D4" s="24">
        <f>C4</f>
        <v>7.6923076923076927E-2</v>
      </c>
      <c r="E4" s="14">
        <f>B4/$B$17</f>
        <v>0.29706347320385501</v>
      </c>
      <c r="F4" s="14">
        <f>E4</f>
        <v>0.29706347320385501</v>
      </c>
    </row>
    <row r="5" spans="1:6" x14ac:dyDescent="0.25">
      <c r="A5" s="21" t="s">
        <v>4</v>
      </c>
      <c r="B5" s="22">
        <v>201345</v>
      </c>
      <c r="C5" s="23">
        <f t="shared" ref="C5:C16" si="0">1/13</f>
        <v>7.6923076923076927E-2</v>
      </c>
      <c r="D5" s="24">
        <f>C5+D4</f>
        <v>0.15384615384615385</v>
      </c>
      <c r="E5" s="14">
        <f t="shared" ref="E5:E16" si="1">B5/$B$17</f>
        <v>0.28650239267810618</v>
      </c>
      <c r="F5" s="14">
        <f>F4+E5</f>
        <v>0.58356586588196113</v>
      </c>
    </row>
    <row r="6" spans="1:6" x14ac:dyDescent="0.25">
      <c r="A6" s="21" t="s">
        <v>7</v>
      </c>
      <c r="B6" s="22">
        <v>150790</v>
      </c>
      <c r="C6" s="23">
        <f t="shared" si="0"/>
        <v>7.6923076923076927E-2</v>
      </c>
      <c r="D6" s="24">
        <f>C6+D5</f>
        <v>0.23076923076923078</v>
      </c>
      <c r="E6" s="14">
        <f t="shared" si="1"/>
        <v>0.21456552579866214</v>
      </c>
      <c r="F6" s="14">
        <f t="shared" ref="F6:F16" si="2">F5+E6</f>
        <v>0.7981313916806233</v>
      </c>
    </row>
    <row r="7" spans="1:6" x14ac:dyDescent="0.25">
      <c r="A7" s="3" t="s">
        <v>3</v>
      </c>
      <c r="B7" s="15">
        <v>43100</v>
      </c>
      <c r="C7" s="20">
        <f t="shared" si="0"/>
        <v>7.6923076923076927E-2</v>
      </c>
      <c r="D7" s="25">
        <f t="shared" ref="D7:D16" si="3">C7+D6</f>
        <v>0.30769230769230771</v>
      </c>
      <c r="E7" s="13">
        <f t="shared" si="1"/>
        <v>6.1328829245456191E-2</v>
      </c>
      <c r="F7" s="13">
        <f t="shared" si="2"/>
        <v>0.85946022092607954</v>
      </c>
    </row>
    <row r="8" spans="1:6" x14ac:dyDescent="0.25">
      <c r="A8" s="3" t="s">
        <v>2</v>
      </c>
      <c r="B8" s="15">
        <v>41865</v>
      </c>
      <c r="C8" s="20">
        <f t="shared" si="0"/>
        <v>7.6923076923076927E-2</v>
      </c>
      <c r="D8" s="25">
        <f t="shared" si="3"/>
        <v>0.38461538461538464</v>
      </c>
      <c r="E8" s="13">
        <f t="shared" si="1"/>
        <v>5.9571495043179198E-2</v>
      </c>
      <c r="F8" s="13">
        <f t="shared" si="2"/>
        <v>0.9190317159692587</v>
      </c>
    </row>
    <row r="9" spans="1:6" x14ac:dyDescent="0.25">
      <c r="A9" s="3" t="s">
        <v>1</v>
      </c>
      <c r="B9" s="15">
        <v>22509</v>
      </c>
      <c r="C9" s="20">
        <f t="shared" si="0"/>
        <v>7.6923076923076927E-2</v>
      </c>
      <c r="D9" s="25">
        <f t="shared" si="3"/>
        <v>0.46153846153846156</v>
      </c>
      <c r="E9" s="13">
        <f t="shared" si="1"/>
        <v>3.2029016647006345E-2</v>
      </c>
      <c r="F9" s="13">
        <f t="shared" si="2"/>
        <v>0.951060732616265</v>
      </c>
    </row>
    <row r="10" spans="1:6" x14ac:dyDescent="0.25">
      <c r="A10" s="3" t="s">
        <v>5</v>
      </c>
      <c r="B10" s="15">
        <v>12980</v>
      </c>
      <c r="C10" s="20">
        <f t="shared" si="0"/>
        <v>7.6923076923076927E-2</v>
      </c>
      <c r="D10" s="25">
        <f t="shared" si="3"/>
        <v>0.53846153846153855</v>
      </c>
      <c r="E10" s="13">
        <f t="shared" si="1"/>
        <v>1.8469795907332283E-2</v>
      </c>
      <c r="F10" s="13">
        <f t="shared" si="2"/>
        <v>0.96953052852359733</v>
      </c>
    </row>
    <row r="11" spans="1:6" x14ac:dyDescent="0.25">
      <c r="A11" s="3" t="s">
        <v>8</v>
      </c>
      <c r="B11" s="15">
        <v>11654</v>
      </c>
      <c r="C11" s="20">
        <f t="shared" si="0"/>
        <v>7.6923076923076927E-2</v>
      </c>
      <c r="D11" s="25">
        <f t="shared" si="3"/>
        <v>0.61538461538461542</v>
      </c>
      <c r="E11" s="13">
        <f t="shared" si="1"/>
        <v>1.6582973921729614E-2</v>
      </c>
      <c r="F11" s="13">
        <f t="shared" si="2"/>
        <v>0.98611350244532692</v>
      </c>
    </row>
    <row r="12" spans="1:6" x14ac:dyDescent="0.25">
      <c r="A12" s="3" t="s">
        <v>13</v>
      </c>
      <c r="B12" s="15">
        <v>3425</v>
      </c>
      <c r="C12" s="20">
        <f t="shared" si="0"/>
        <v>7.6923076923076927E-2</v>
      </c>
      <c r="D12" s="25">
        <f t="shared" si="3"/>
        <v>0.69230769230769229</v>
      </c>
      <c r="E12" s="13">
        <f t="shared" si="1"/>
        <v>4.8735786581365998E-3</v>
      </c>
      <c r="F12" s="13">
        <f t="shared" si="2"/>
        <v>0.99098708110346356</v>
      </c>
    </row>
    <row r="13" spans="1:6" x14ac:dyDescent="0.25">
      <c r="A13" s="3" t="s">
        <v>11</v>
      </c>
      <c r="B13" s="15">
        <v>2345</v>
      </c>
      <c r="C13" s="20">
        <f t="shared" si="0"/>
        <v>7.6923076923076927E-2</v>
      </c>
      <c r="D13" s="25">
        <f t="shared" si="3"/>
        <v>0.76923076923076916</v>
      </c>
      <c r="E13" s="13">
        <f t="shared" si="1"/>
        <v>3.3368005703154238E-3</v>
      </c>
      <c r="F13" s="13">
        <f t="shared" si="2"/>
        <v>0.99432388167377894</v>
      </c>
    </row>
    <row r="14" spans="1:6" x14ac:dyDescent="0.25">
      <c r="A14" s="3" t="s">
        <v>9</v>
      </c>
      <c r="B14" s="15">
        <v>2000</v>
      </c>
      <c r="C14" s="20">
        <f t="shared" si="0"/>
        <v>7.6923076923076927E-2</v>
      </c>
      <c r="D14" s="25">
        <f t="shared" si="3"/>
        <v>0.84615384615384603</v>
      </c>
      <c r="E14" s="13">
        <f t="shared" si="1"/>
        <v>2.8458853478169925E-3</v>
      </c>
      <c r="F14" s="13">
        <f t="shared" si="2"/>
        <v>0.99716976702159599</v>
      </c>
    </row>
    <row r="15" spans="1:6" ht="18" customHeight="1" x14ac:dyDescent="0.25">
      <c r="A15" s="3" t="s">
        <v>6</v>
      </c>
      <c r="B15" s="15">
        <v>1200</v>
      </c>
      <c r="C15" s="20">
        <f t="shared" si="0"/>
        <v>7.6923076923076927E-2</v>
      </c>
      <c r="D15" s="25">
        <f t="shared" si="3"/>
        <v>0.92307692307692291</v>
      </c>
      <c r="E15" s="13">
        <f t="shared" si="1"/>
        <v>1.7075312086901955E-3</v>
      </c>
      <c r="F15" s="13">
        <f t="shared" si="2"/>
        <v>0.99887729823028615</v>
      </c>
    </row>
    <row r="16" spans="1:6" x14ac:dyDescent="0.25">
      <c r="A16" s="3" t="s">
        <v>12</v>
      </c>
      <c r="B16" s="4">
        <v>789</v>
      </c>
      <c r="C16" s="20">
        <f t="shared" si="0"/>
        <v>7.6923076923076927E-2</v>
      </c>
      <c r="D16" s="25">
        <f t="shared" si="3"/>
        <v>0.99999999999999978</v>
      </c>
      <c r="E16" s="13">
        <f t="shared" si="1"/>
        <v>1.1227017697138036E-3</v>
      </c>
      <c r="F16" s="13">
        <f t="shared" si="2"/>
        <v>1</v>
      </c>
    </row>
    <row r="17" spans="1:4" x14ac:dyDescent="0.25">
      <c r="A17" s="5" t="s">
        <v>30</v>
      </c>
      <c r="B17" s="6">
        <f>SUM(B4:B16)</f>
        <v>702769</v>
      </c>
      <c r="C17" s="6"/>
      <c r="D17" s="6"/>
    </row>
    <row r="20" spans="1:4" x14ac:dyDescent="0.25">
      <c r="A20" s="7" t="s">
        <v>31</v>
      </c>
    </row>
    <row r="21" spans="1:4" x14ac:dyDescent="0.25">
      <c r="A21" s="8" t="s">
        <v>32</v>
      </c>
    </row>
  </sheetData>
  <sortState xmlns:xlrd2="http://schemas.microsoft.com/office/spreadsheetml/2017/richdata2" ref="A4:B17">
    <sortCondition descending="1" ref="B4:B17"/>
  </sortState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tabSelected="1" workbookViewId="0"/>
  </sheetViews>
  <sheetFormatPr baseColWidth="10" defaultRowHeight="15" x14ac:dyDescent="0.25"/>
  <cols>
    <col min="2" max="3" width="11.5703125" customWidth="1"/>
    <col min="4" max="4" width="14.42578125" customWidth="1"/>
    <col min="6" max="6" width="11.42578125" customWidth="1"/>
    <col min="7" max="7" width="10.7109375" customWidth="1"/>
    <col min="8" max="8" width="14.42578125" customWidth="1"/>
  </cols>
  <sheetData>
    <row r="1" spans="1:9" x14ac:dyDescent="0.25">
      <c r="A1" s="18" t="s">
        <v>57</v>
      </c>
      <c r="B1" s="18" t="s">
        <v>39</v>
      </c>
      <c r="C1" s="18"/>
      <c r="D1" s="18"/>
      <c r="E1" s="18"/>
      <c r="F1" s="18"/>
    </row>
    <row r="3" spans="1:9" ht="33.75" customHeight="1" x14ac:dyDescent="0.25">
      <c r="A3" s="17" t="s">
        <v>33</v>
      </c>
      <c r="B3" s="17" t="s">
        <v>35</v>
      </c>
      <c r="C3" s="17" t="s">
        <v>43</v>
      </c>
      <c r="D3" s="17" t="s">
        <v>45</v>
      </c>
      <c r="E3" s="17" t="s">
        <v>34</v>
      </c>
      <c r="F3" s="17" t="s">
        <v>28</v>
      </c>
      <c r="G3" s="17" t="s">
        <v>29</v>
      </c>
      <c r="H3" s="17" t="s">
        <v>44</v>
      </c>
      <c r="I3" s="17" t="s">
        <v>46</v>
      </c>
    </row>
    <row r="4" spans="1:9" x14ac:dyDescent="0.25">
      <c r="A4" s="26" t="s">
        <v>21</v>
      </c>
      <c r="B4" s="27">
        <f>1/12</f>
        <v>8.3333333333333329E-2</v>
      </c>
      <c r="C4" s="27">
        <f>B4</f>
        <v>8.3333333333333329E-2</v>
      </c>
      <c r="D4" s="27">
        <f>C4</f>
        <v>8.3333333333333329E-2</v>
      </c>
      <c r="E4" s="28">
        <v>1567</v>
      </c>
      <c r="F4" s="29">
        <f>E4/$E$17</f>
        <v>0.22408122408122408</v>
      </c>
      <c r="G4" s="29">
        <f>F4</f>
        <v>0.22408122408122408</v>
      </c>
      <c r="H4" s="29">
        <f>G4</f>
        <v>0.22408122408122408</v>
      </c>
      <c r="I4" s="30" t="s">
        <v>36</v>
      </c>
    </row>
    <row r="5" spans="1:9" x14ac:dyDescent="0.25">
      <c r="A5" s="26" t="s">
        <v>19</v>
      </c>
      <c r="B5" s="27">
        <f t="shared" ref="B5:B15" si="0">1/12</f>
        <v>8.3333333333333329E-2</v>
      </c>
      <c r="C5" s="27">
        <f>C4+B5</f>
        <v>0.16666666666666666</v>
      </c>
      <c r="D5" s="27">
        <f>C5</f>
        <v>0.16666666666666666</v>
      </c>
      <c r="E5" s="28">
        <v>1560</v>
      </c>
      <c r="F5" s="29">
        <f t="shared" ref="F5:F15" si="1">E5/$E$17</f>
        <v>0.22308022308022307</v>
      </c>
      <c r="G5" s="29">
        <f>G4+F5</f>
        <v>0.44716144716144712</v>
      </c>
      <c r="H5" s="29">
        <f>G4+F5</f>
        <v>0.44716144716144712</v>
      </c>
      <c r="I5" s="30" t="s">
        <v>36</v>
      </c>
    </row>
    <row r="6" spans="1:9" x14ac:dyDescent="0.25">
      <c r="A6" s="31" t="s">
        <v>16</v>
      </c>
      <c r="B6" s="32">
        <f t="shared" si="0"/>
        <v>8.3333333333333329E-2</v>
      </c>
      <c r="C6" s="32">
        <f t="shared" ref="C6:C15" si="2">C5+B6</f>
        <v>0.25</v>
      </c>
      <c r="D6" s="32">
        <f>B6</f>
        <v>8.3333333333333329E-2</v>
      </c>
      <c r="E6" s="33">
        <v>950</v>
      </c>
      <c r="F6" s="14">
        <f t="shared" si="1"/>
        <v>0.13585013585013586</v>
      </c>
      <c r="G6" s="14">
        <f t="shared" ref="G6:G15" si="3">G5+F6</f>
        <v>0.58301158301158296</v>
      </c>
      <c r="H6" s="14">
        <f>F6</f>
        <v>0.13585013585013586</v>
      </c>
      <c r="I6" s="34" t="s">
        <v>37</v>
      </c>
    </row>
    <row r="7" spans="1:9" x14ac:dyDescent="0.25">
      <c r="A7" s="31" t="s">
        <v>24</v>
      </c>
      <c r="B7" s="32">
        <f t="shared" si="0"/>
        <v>8.3333333333333329E-2</v>
      </c>
      <c r="C7" s="32">
        <f t="shared" si="2"/>
        <v>0.33333333333333331</v>
      </c>
      <c r="D7" s="32">
        <f>D6+B7</f>
        <v>0.16666666666666666</v>
      </c>
      <c r="E7" s="33">
        <v>897</v>
      </c>
      <c r="F7" s="14">
        <f t="shared" si="1"/>
        <v>0.12827112827112827</v>
      </c>
      <c r="G7" s="14">
        <f t="shared" si="3"/>
        <v>0.71128271128271126</v>
      </c>
      <c r="H7" s="14">
        <f>F6+F7</f>
        <v>0.26412126412126413</v>
      </c>
      <c r="I7" s="34" t="s">
        <v>37</v>
      </c>
    </row>
    <row r="8" spans="1:9" x14ac:dyDescent="0.25">
      <c r="A8" s="31" t="s">
        <v>26</v>
      </c>
      <c r="B8" s="32">
        <f t="shared" si="0"/>
        <v>8.3333333333333329E-2</v>
      </c>
      <c r="C8" s="32">
        <f t="shared" si="2"/>
        <v>0.41666666666666663</v>
      </c>
      <c r="D8" s="32">
        <f t="shared" ref="D8:D10" si="4">D7+B8</f>
        <v>0.25</v>
      </c>
      <c r="E8" s="33">
        <v>732</v>
      </c>
      <c r="F8" s="14">
        <f t="shared" si="1"/>
        <v>0.10467610467610468</v>
      </c>
      <c r="G8" s="14">
        <f t="shared" si="3"/>
        <v>0.81595881595881592</v>
      </c>
      <c r="H8" s="14">
        <f>H7+F8</f>
        <v>0.3687973687973688</v>
      </c>
      <c r="I8" s="34" t="s">
        <v>37</v>
      </c>
    </row>
    <row r="9" spans="1:9" x14ac:dyDescent="0.25">
      <c r="A9" s="31" t="s">
        <v>18</v>
      </c>
      <c r="B9" s="32">
        <f t="shared" si="0"/>
        <v>8.3333333333333329E-2</v>
      </c>
      <c r="C9" s="32">
        <f t="shared" si="2"/>
        <v>0.49999999999999994</v>
      </c>
      <c r="D9" s="32">
        <f t="shared" si="4"/>
        <v>0.33333333333333331</v>
      </c>
      <c r="E9" s="33">
        <v>455</v>
      </c>
      <c r="F9" s="14">
        <f t="shared" si="1"/>
        <v>6.506506506506507E-2</v>
      </c>
      <c r="G9" s="14">
        <f t="shared" si="3"/>
        <v>0.88102388102388096</v>
      </c>
      <c r="H9" s="14">
        <f>H8+F9</f>
        <v>0.43386243386243384</v>
      </c>
      <c r="I9" s="34" t="s">
        <v>37</v>
      </c>
    </row>
    <row r="10" spans="1:9" x14ac:dyDescent="0.25">
      <c r="A10" s="31" t="s">
        <v>15</v>
      </c>
      <c r="B10" s="32">
        <f t="shared" si="0"/>
        <v>8.3333333333333329E-2</v>
      </c>
      <c r="C10" s="32">
        <f t="shared" si="2"/>
        <v>0.58333333333333326</v>
      </c>
      <c r="D10" s="32">
        <f t="shared" si="4"/>
        <v>0.41666666666666663</v>
      </c>
      <c r="E10" s="33">
        <v>376</v>
      </c>
      <c r="F10" s="14">
        <f t="shared" si="1"/>
        <v>5.376805376805377E-2</v>
      </c>
      <c r="G10" s="14">
        <f t="shared" si="3"/>
        <v>0.93479193479193468</v>
      </c>
      <c r="H10" s="14">
        <f>H9+F10</f>
        <v>0.48763048763048761</v>
      </c>
      <c r="I10" s="34" t="s">
        <v>37</v>
      </c>
    </row>
    <row r="11" spans="1:9" x14ac:dyDescent="0.25">
      <c r="A11" s="35" t="s">
        <v>20</v>
      </c>
      <c r="B11" s="36">
        <f t="shared" si="0"/>
        <v>8.3333333333333329E-2</v>
      </c>
      <c r="C11" s="36">
        <f t="shared" si="2"/>
        <v>0.66666666666666663</v>
      </c>
      <c r="D11" s="36">
        <f>B11</f>
        <v>8.3333333333333329E-2</v>
      </c>
      <c r="E11" s="37">
        <v>113</v>
      </c>
      <c r="F11" s="38">
        <f t="shared" si="1"/>
        <v>1.615901615901616E-2</v>
      </c>
      <c r="G11" s="38">
        <f t="shared" si="3"/>
        <v>0.95095095095095084</v>
      </c>
      <c r="H11" s="38">
        <f>F11</f>
        <v>1.615901615901616E-2</v>
      </c>
      <c r="I11" s="39" t="s">
        <v>38</v>
      </c>
    </row>
    <row r="12" spans="1:9" x14ac:dyDescent="0.25">
      <c r="A12" s="35" t="s">
        <v>22</v>
      </c>
      <c r="B12" s="36">
        <f t="shared" si="0"/>
        <v>8.3333333333333329E-2</v>
      </c>
      <c r="C12" s="36">
        <f t="shared" si="2"/>
        <v>0.75</v>
      </c>
      <c r="D12" s="36">
        <f>D11+B12</f>
        <v>0.16666666666666666</v>
      </c>
      <c r="E12" s="37">
        <v>111</v>
      </c>
      <c r="F12" s="38">
        <f t="shared" si="1"/>
        <v>1.5873015873015872E-2</v>
      </c>
      <c r="G12" s="38">
        <f t="shared" si="3"/>
        <v>0.96682396682396665</v>
      </c>
      <c r="H12" s="38">
        <f>F11+F12</f>
        <v>3.2032032032032032E-2</v>
      </c>
      <c r="I12" s="39" t="s">
        <v>38</v>
      </c>
    </row>
    <row r="13" spans="1:9" x14ac:dyDescent="0.25">
      <c r="A13" s="35" t="s">
        <v>23</v>
      </c>
      <c r="B13" s="36">
        <f t="shared" si="0"/>
        <v>8.3333333333333329E-2</v>
      </c>
      <c r="C13" s="36">
        <f t="shared" si="2"/>
        <v>0.83333333333333337</v>
      </c>
      <c r="D13" s="36">
        <f t="shared" ref="D13:D15" si="5">D12+B13</f>
        <v>0.25</v>
      </c>
      <c r="E13" s="37">
        <v>98</v>
      </c>
      <c r="F13" s="38">
        <f t="shared" si="1"/>
        <v>1.4014014014014014E-2</v>
      </c>
      <c r="G13" s="38">
        <f t="shared" si="3"/>
        <v>0.98083798083798068</v>
      </c>
      <c r="H13" s="38">
        <f>H12+F13</f>
        <v>4.6046046046046049E-2</v>
      </c>
      <c r="I13" s="39" t="s">
        <v>38</v>
      </c>
    </row>
    <row r="14" spans="1:9" x14ac:dyDescent="0.25">
      <c r="A14" s="35" t="s">
        <v>25</v>
      </c>
      <c r="B14" s="36">
        <f t="shared" si="0"/>
        <v>8.3333333333333329E-2</v>
      </c>
      <c r="C14" s="36">
        <f t="shared" si="2"/>
        <v>0.91666666666666674</v>
      </c>
      <c r="D14" s="36">
        <f t="shared" si="5"/>
        <v>0.33333333333333331</v>
      </c>
      <c r="E14" s="37">
        <v>76</v>
      </c>
      <c r="F14" s="38">
        <f t="shared" si="1"/>
        <v>1.0868010868010867E-2</v>
      </c>
      <c r="G14" s="38">
        <f t="shared" si="3"/>
        <v>0.9917059917059915</v>
      </c>
      <c r="H14" s="38">
        <f>H13+F14</f>
        <v>5.6914056914056918E-2</v>
      </c>
      <c r="I14" s="39" t="s">
        <v>38</v>
      </c>
    </row>
    <row r="15" spans="1:9" x14ac:dyDescent="0.25">
      <c r="A15" s="35" t="s">
        <v>17</v>
      </c>
      <c r="B15" s="36">
        <f t="shared" si="0"/>
        <v>8.3333333333333329E-2</v>
      </c>
      <c r="C15" s="36">
        <f t="shared" si="2"/>
        <v>1</v>
      </c>
      <c r="D15" s="36">
        <f t="shared" si="5"/>
        <v>0.41666666666666663</v>
      </c>
      <c r="E15" s="37">
        <v>58</v>
      </c>
      <c r="F15" s="38">
        <f t="shared" si="1"/>
        <v>8.2940082940082937E-3</v>
      </c>
      <c r="G15" s="38">
        <f t="shared" si="3"/>
        <v>0.99999999999999978</v>
      </c>
      <c r="H15" s="38">
        <f>H14+F15</f>
        <v>6.5208065208065213E-2</v>
      </c>
      <c r="I15" s="39" t="s">
        <v>38</v>
      </c>
    </row>
    <row r="16" spans="1:9" ht="15.75" thickBot="1" x14ac:dyDescent="0.3">
      <c r="A16" s="1"/>
      <c r="B16" s="10"/>
      <c r="C16" s="10"/>
      <c r="D16" s="10"/>
      <c r="E16" s="9"/>
    </row>
    <row r="17" spans="1:5" ht="15.75" thickBot="1" x14ac:dyDescent="0.3">
      <c r="A17" s="1" t="s">
        <v>27</v>
      </c>
      <c r="B17" s="10"/>
      <c r="C17" s="10"/>
      <c r="D17" s="10"/>
      <c r="E17" s="2">
        <f>SUM(E4:E15)</f>
        <v>6993</v>
      </c>
    </row>
    <row r="18" spans="1:5" x14ac:dyDescent="0.25">
      <c r="E18" s="2"/>
    </row>
    <row r="19" spans="1:5" x14ac:dyDescent="0.25">
      <c r="A19" s="11"/>
    </row>
  </sheetData>
  <sortState xmlns:xlrd2="http://schemas.microsoft.com/office/spreadsheetml/2017/richdata2" ref="A3:E14">
    <sortCondition descending="1" ref="E3:E14"/>
  </sortState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2A2734-1026-4549-B75A-DBA0D028AB68}"/>
</file>

<file path=customXml/itemProps2.xml><?xml version="1.0" encoding="utf-8"?>
<ds:datastoreItem xmlns:ds="http://schemas.openxmlformats.org/officeDocument/2006/customXml" ds:itemID="{13D44046-8E46-4EE1-8620-B6A2F2CA3064}"/>
</file>

<file path=customXml/itemProps3.xml><?xml version="1.0" encoding="utf-8"?>
<ds:datastoreItem xmlns:ds="http://schemas.openxmlformats.org/officeDocument/2006/customXml" ds:itemID="{81B40FB8-9930-4846-8B55-7A5ACECAB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1</vt:lpstr>
      <vt:lpstr>Exercice3</vt:lpstr>
      <vt:lpstr>Exercice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isabelle chaupart</cp:lastModifiedBy>
  <cp:lastPrinted>2018-03-12T16:47:56Z</cp:lastPrinted>
  <dcterms:created xsi:type="dcterms:W3CDTF">2015-10-02T12:19:45Z</dcterms:created>
  <dcterms:modified xsi:type="dcterms:W3CDTF">2021-08-30T13:46:16Z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