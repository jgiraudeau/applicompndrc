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MCO BLOC 1/CHAP07_GP/"/>
    </mc:Choice>
  </mc:AlternateContent>
  <xr:revisionPtr revIDLastSave="1" documentId="13_ncr:1_{0872C1A9-A98B-4115-82ED-ABBE491946A1}" xr6:coauthVersionLast="47" xr6:coauthVersionMax="47" xr10:uidLastSave="{2F77EFDC-B8D3-4691-B152-3B3DC65240CA}"/>
  <bookViews>
    <workbookView xWindow="3645" yWindow="1140" windowWidth="18000" windowHeight="12735" xr2:uid="{E18CBDB0-F1E9-48F7-82C8-62B5B577746D}"/>
  </bookViews>
  <sheets>
    <sheet name="Exercice 3-corrigé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5" l="1"/>
  <c r="AD9" i="5"/>
  <c r="P9" i="5"/>
  <c r="H9" i="5"/>
  <c r="G9" i="5"/>
  <c r="F9" i="5"/>
  <c r="E9" i="5"/>
  <c r="I9" i="5" s="1"/>
  <c r="C9" i="5"/>
  <c r="B9" i="5"/>
  <c r="I8" i="5"/>
  <c r="D8" i="5"/>
  <c r="V7" i="5"/>
  <c r="S7" i="5"/>
  <c r="I7" i="5"/>
  <c r="D7" i="5"/>
  <c r="I6" i="5"/>
  <c r="D6" i="5"/>
  <c r="D9" i="5" l="1"/>
</calcChain>
</file>

<file path=xl/sharedStrings.xml><?xml version="1.0" encoding="utf-8"?>
<sst xmlns="http://schemas.openxmlformats.org/spreadsheetml/2006/main" count="44" uniqueCount="41">
  <si>
    <t>Total</t>
  </si>
  <si>
    <t>Exercice 2</t>
  </si>
  <si>
    <t xml:space="preserve">mangez-vous du chocolat ? </t>
  </si>
  <si>
    <t xml:space="preserve">Jamais </t>
  </si>
  <si>
    <t xml:space="preserve">Occasionnellement </t>
  </si>
  <si>
    <t xml:space="preserve">Souvent </t>
  </si>
  <si>
    <t xml:space="preserve">Hommes </t>
  </si>
  <si>
    <t xml:space="preserve">Femmes </t>
  </si>
  <si>
    <t>18/25 ans</t>
  </si>
  <si>
    <t xml:space="preserve">26/35 ans </t>
  </si>
  <si>
    <t xml:space="preserve">36/49 ans </t>
  </si>
  <si>
    <t>+ de 50 ans</t>
  </si>
  <si>
    <t xml:space="preserve">Quel sexe ? </t>
  </si>
  <si>
    <t>Quelle tranche d'âge ?</t>
  </si>
  <si>
    <t xml:space="preserve">Total </t>
  </si>
  <si>
    <t>Où achetez-vous vos chocolats ? (Plusieurs réponses possibles)</t>
  </si>
  <si>
    <t xml:space="preserve">Grandes surfaces </t>
  </si>
  <si>
    <t>Chocolatier</t>
  </si>
  <si>
    <t>Internet</t>
  </si>
  <si>
    <t>Commerce de luxe</t>
  </si>
  <si>
    <t xml:space="preserve">Autres </t>
  </si>
  <si>
    <t>Boulanger/ pâtissier</t>
  </si>
  <si>
    <t xml:space="preserve">Pour quelles occasions achetez-vous du chocolat ? </t>
  </si>
  <si>
    <t>Pour les fêtes</t>
  </si>
  <si>
    <t>Pour faire un cadeau</t>
  </si>
  <si>
    <t>Pour se faire plaisir</t>
  </si>
  <si>
    <t xml:space="preserve">Autre </t>
  </si>
  <si>
    <t xml:space="preserve">Connaissez-vous Jeff de Bruges ? </t>
  </si>
  <si>
    <t xml:space="preserve">Oui </t>
  </si>
  <si>
    <t>Non</t>
  </si>
  <si>
    <t xml:space="preserve">Si oui, avez-vous déjà acheté chez Jeff de Bruges ? </t>
  </si>
  <si>
    <t xml:space="preserve">Si non, pourquoi n'avez-vous jamais acheté chez Jeff de Bruges ? </t>
  </si>
  <si>
    <t>Pas de magasin près de chez moi</t>
  </si>
  <si>
    <t>Prix trop élevés</t>
  </si>
  <si>
    <t xml:space="preserve">Qualité insuffisante </t>
  </si>
  <si>
    <t>Manque de choix</t>
  </si>
  <si>
    <t xml:space="preserve">Je ne sais pas </t>
  </si>
  <si>
    <t xml:space="preserve">Quelle image avez-vous de Jeff de Bruges ? </t>
  </si>
  <si>
    <t xml:space="preserve">Bonne image </t>
  </si>
  <si>
    <t xml:space="preserve">Aucune image </t>
  </si>
  <si>
    <t xml:space="preserve">Mauvaise image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</si>
</sst>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Profil des personnes intérrogées - Leur sexe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75-4A7F-94F1-1FBBCBC07EE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75-4A7F-94F1-1FBBCBC07E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'Exercice 3-corrigé'!$B$5:$C$5</c:f>
              <c:strCache>
                <c:ptCount val="2"/>
                <c:pt idx="0">
                  <c:v>Hommes </c:v>
                </c:pt>
                <c:pt idx="1">
                  <c:v>Femmes </c:v>
                </c:pt>
              </c:strCache>
            </c:strRef>
          </c:cat>
          <c:val>
            <c:numRef>
              <c:f>'Exercice 3-corrigé'!$B$9:$C$9</c:f>
              <c:numCache>
                <c:formatCode>General</c:formatCode>
                <c:ptCount val="2"/>
                <c:pt idx="0">
                  <c:v>297</c:v>
                </c:pt>
                <c:pt idx="1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75-4A7F-94F1-1FBBCBC07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Profil des personnes interrogées - Leur âge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79-4B02-BBD7-B8B7705AF0A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79-4B02-BBD7-B8B7705AF0A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79-4B02-BBD7-B8B7705AF0A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979-4B02-BBD7-B8B7705AF0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'Exercice 3-corrigé'!$E$5:$H$5</c:f>
              <c:strCache>
                <c:ptCount val="4"/>
                <c:pt idx="0">
                  <c:v>18/25 ans</c:v>
                </c:pt>
                <c:pt idx="1">
                  <c:v>26/35 ans </c:v>
                </c:pt>
                <c:pt idx="2">
                  <c:v>36/49 ans </c:v>
                </c:pt>
                <c:pt idx="3">
                  <c:v>+ de 50 ans</c:v>
                </c:pt>
              </c:strCache>
            </c:strRef>
          </c:cat>
          <c:val>
            <c:numRef>
              <c:f>'Exercice 3-corrigé'!$E$9:$H$9</c:f>
              <c:numCache>
                <c:formatCode>General</c:formatCode>
                <c:ptCount val="4"/>
                <c:pt idx="0">
                  <c:v>148</c:v>
                </c:pt>
                <c:pt idx="1">
                  <c:v>156</c:v>
                </c:pt>
                <c:pt idx="2">
                  <c:v>166</c:v>
                </c:pt>
                <c:pt idx="3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79-4B02-BBD7-B8B7705AF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Fréquence de consommation de chocolat selon le sexe </a:t>
            </a:r>
          </a:p>
        </c:rich>
      </c:tx>
      <c:layout>
        <c:manualLayout>
          <c:xMode val="edge"/>
          <c:yMode val="edge"/>
          <c:x val="0.2461248906386701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'Exercice 3-corrigé'!$B$5</c:f>
              <c:strCache>
                <c:ptCount val="1"/>
                <c:pt idx="0">
                  <c:v>Hommes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'Exercice 3-corrigé'!$A$6:$A$8</c:f>
              <c:strCache>
                <c:ptCount val="3"/>
                <c:pt idx="0">
                  <c:v>Jamais </c:v>
                </c:pt>
                <c:pt idx="1">
                  <c:v>Occasionnellement </c:v>
                </c:pt>
                <c:pt idx="2">
                  <c:v>Souvent </c:v>
                </c:pt>
              </c:strCache>
            </c:strRef>
          </c:cat>
          <c:val>
            <c:numRef>
              <c:f>'Exercice 3-corrigé'!$B$6:$B$8</c:f>
              <c:numCache>
                <c:formatCode>General</c:formatCode>
                <c:ptCount val="3"/>
                <c:pt idx="0">
                  <c:v>23</c:v>
                </c:pt>
                <c:pt idx="1">
                  <c:v>87</c:v>
                </c:pt>
                <c:pt idx="2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1-4E0D-8FBB-0942FE10CE73}"/>
            </c:ext>
          </c:extLst>
        </c:ser>
        <c:ser>
          <c:idx val="1"/>
          <c:order val="1"/>
          <c:tx>
            <c:strRef>
              <c:f>'Exercice 3-corrigé'!$C$5</c:f>
              <c:strCache>
                <c:ptCount val="1"/>
                <c:pt idx="0">
                  <c:v>Femmes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'Exercice 3-corrigé'!$A$6:$A$8</c:f>
              <c:strCache>
                <c:ptCount val="3"/>
                <c:pt idx="0">
                  <c:v>Jamais </c:v>
                </c:pt>
                <c:pt idx="1">
                  <c:v>Occasionnellement </c:v>
                </c:pt>
                <c:pt idx="2">
                  <c:v>Souvent </c:v>
                </c:pt>
              </c:strCache>
            </c:strRef>
          </c:cat>
          <c:val>
            <c:numRef>
              <c:f>'Exercice 3-corrigé'!$C$6:$C$8</c:f>
              <c:numCache>
                <c:formatCode>General</c:formatCode>
                <c:ptCount val="3"/>
                <c:pt idx="0">
                  <c:v>14</c:v>
                </c:pt>
                <c:pt idx="1">
                  <c:v>110</c:v>
                </c:pt>
                <c:pt idx="2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1-4E0D-8FBB-0942FE10C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38350776"/>
        <c:axId val="538347496"/>
      </c:barChart>
      <c:catAx>
        <c:axId val="53835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8347496"/>
        <c:crosses val="autoZero"/>
        <c:auto val="1"/>
        <c:lblAlgn val="ctr"/>
        <c:lblOffset val="100"/>
        <c:noMultiLvlLbl val="0"/>
      </c:catAx>
      <c:valAx>
        <c:axId val="53834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835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Fréquence de</a:t>
            </a:r>
            <a:r>
              <a:rPr lang="fr-FR" baseline="0"/>
              <a:t> consommation de chocolat selon l'âge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'Exercice 3-corrigé'!$E$5</c:f>
              <c:strCache>
                <c:ptCount val="1"/>
                <c:pt idx="0">
                  <c:v>18/25 ans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'Exercice 3-corrigé'!$A$6:$A$8</c:f>
              <c:strCache>
                <c:ptCount val="3"/>
                <c:pt idx="0">
                  <c:v>Jamais </c:v>
                </c:pt>
                <c:pt idx="1">
                  <c:v>Occasionnellement </c:v>
                </c:pt>
                <c:pt idx="2">
                  <c:v>Souvent </c:v>
                </c:pt>
              </c:strCache>
            </c:strRef>
          </c:cat>
          <c:val>
            <c:numRef>
              <c:f>'Exercice 3-corrigé'!$E$6:$E$8</c:f>
              <c:numCache>
                <c:formatCode>General</c:formatCode>
                <c:ptCount val="3"/>
                <c:pt idx="0">
                  <c:v>32</c:v>
                </c:pt>
                <c:pt idx="1">
                  <c:v>89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2-4D51-9868-B284BABD3674}"/>
            </c:ext>
          </c:extLst>
        </c:ser>
        <c:ser>
          <c:idx val="1"/>
          <c:order val="1"/>
          <c:tx>
            <c:strRef>
              <c:f>'Exercice 3-corrigé'!$F$5</c:f>
              <c:strCache>
                <c:ptCount val="1"/>
                <c:pt idx="0">
                  <c:v>26/35 ans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'Exercice 3-corrigé'!$A$6:$A$8</c:f>
              <c:strCache>
                <c:ptCount val="3"/>
                <c:pt idx="0">
                  <c:v>Jamais </c:v>
                </c:pt>
                <c:pt idx="1">
                  <c:v>Occasionnellement </c:v>
                </c:pt>
                <c:pt idx="2">
                  <c:v>Souvent </c:v>
                </c:pt>
              </c:strCache>
            </c:strRef>
          </c:cat>
          <c:val>
            <c:numRef>
              <c:f>'Exercice 3-corrigé'!$F$6:$F$8</c:f>
              <c:numCache>
                <c:formatCode>General</c:formatCode>
                <c:ptCount val="3"/>
                <c:pt idx="0">
                  <c:v>23</c:v>
                </c:pt>
                <c:pt idx="1">
                  <c:v>90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72-4D51-9868-B284BABD3674}"/>
            </c:ext>
          </c:extLst>
        </c:ser>
        <c:ser>
          <c:idx val="2"/>
          <c:order val="2"/>
          <c:tx>
            <c:strRef>
              <c:f>'Exercice 3-corrigé'!$G$5</c:f>
              <c:strCache>
                <c:ptCount val="1"/>
                <c:pt idx="0">
                  <c:v>36/49 ans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'Exercice 3-corrigé'!$A$6:$A$8</c:f>
              <c:strCache>
                <c:ptCount val="3"/>
                <c:pt idx="0">
                  <c:v>Jamais </c:v>
                </c:pt>
                <c:pt idx="1">
                  <c:v>Occasionnellement </c:v>
                </c:pt>
                <c:pt idx="2">
                  <c:v>Souvent </c:v>
                </c:pt>
              </c:strCache>
            </c:strRef>
          </c:cat>
          <c:val>
            <c:numRef>
              <c:f>'Exercice 3-corrigé'!$G$6:$G$8</c:f>
              <c:numCache>
                <c:formatCode>General</c:formatCode>
                <c:ptCount val="3"/>
                <c:pt idx="0">
                  <c:v>12</c:v>
                </c:pt>
                <c:pt idx="1">
                  <c:v>56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72-4D51-9868-B284BABD3674}"/>
            </c:ext>
          </c:extLst>
        </c:ser>
        <c:ser>
          <c:idx val="3"/>
          <c:order val="3"/>
          <c:tx>
            <c:strRef>
              <c:f>'Exercice 3-corrigé'!$H$5</c:f>
              <c:strCache>
                <c:ptCount val="1"/>
                <c:pt idx="0">
                  <c:v>+ de 50 ans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'Exercice 3-corrigé'!$A$6:$A$8</c:f>
              <c:strCache>
                <c:ptCount val="3"/>
                <c:pt idx="0">
                  <c:v>Jamais </c:v>
                </c:pt>
                <c:pt idx="1">
                  <c:v>Occasionnellement </c:v>
                </c:pt>
                <c:pt idx="2">
                  <c:v>Souvent </c:v>
                </c:pt>
              </c:strCache>
            </c:strRef>
          </c:cat>
          <c:val>
            <c:numRef>
              <c:f>'Exercice 3-corrigé'!$H$6:$H$8</c:f>
              <c:numCache>
                <c:formatCode>General</c:formatCode>
                <c:ptCount val="3"/>
                <c:pt idx="0">
                  <c:v>23</c:v>
                </c:pt>
                <c:pt idx="1">
                  <c:v>45</c:v>
                </c:pt>
                <c:pt idx="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72-4D51-9868-B284BABD3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38355368"/>
        <c:axId val="538352744"/>
      </c:barChart>
      <c:catAx>
        <c:axId val="53835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8352744"/>
        <c:crosses val="autoZero"/>
        <c:auto val="1"/>
        <c:lblAlgn val="ctr"/>
        <c:lblOffset val="100"/>
        <c:noMultiLvlLbl val="0"/>
      </c:catAx>
      <c:valAx>
        <c:axId val="53835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835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Lieux d'achat des chocolats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'Exercice 3-corrigé'!$K$5:$K$10</c:f>
              <c:strCache>
                <c:ptCount val="6"/>
                <c:pt idx="0">
                  <c:v>Grandes surfaces </c:v>
                </c:pt>
                <c:pt idx="1">
                  <c:v>Chocolatier</c:v>
                </c:pt>
                <c:pt idx="2">
                  <c:v>Boulanger/ pâtissier</c:v>
                </c:pt>
                <c:pt idx="3">
                  <c:v>Internet</c:v>
                </c:pt>
                <c:pt idx="4">
                  <c:v>Commerce de luxe</c:v>
                </c:pt>
                <c:pt idx="5">
                  <c:v>Autres </c:v>
                </c:pt>
              </c:strCache>
            </c:strRef>
          </c:cat>
          <c:val>
            <c:numRef>
              <c:f>'Exercice 3-corrigé'!$L$5:$L$10</c:f>
              <c:numCache>
                <c:formatCode>General</c:formatCode>
                <c:ptCount val="6"/>
                <c:pt idx="0">
                  <c:v>623</c:v>
                </c:pt>
                <c:pt idx="1">
                  <c:v>125</c:v>
                </c:pt>
                <c:pt idx="2">
                  <c:v>132</c:v>
                </c:pt>
                <c:pt idx="3">
                  <c:v>27</c:v>
                </c:pt>
                <c:pt idx="4">
                  <c:v>87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B-439E-B8B3-88EC48B86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2856816"/>
        <c:axId val="612855504"/>
      </c:barChart>
      <c:catAx>
        <c:axId val="61285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2855504"/>
        <c:crosses val="autoZero"/>
        <c:auto val="1"/>
        <c:lblAlgn val="ctr"/>
        <c:lblOffset val="100"/>
        <c:noMultiLvlLbl val="0"/>
      </c:catAx>
      <c:valAx>
        <c:axId val="61285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285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Occasions d'achat de chocolat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'Exercice 3-corrigé'!$O$5:$O$8</c:f>
              <c:strCache>
                <c:ptCount val="4"/>
                <c:pt idx="0">
                  <c:v>Pour les fêtes</c:v>
                </c:pt>
                <c:pt idx="1">
                  <c:v>Pour faire un cadeau</c:v>
                </c:pt>
                <c:pt idx="2">
                  <c:v>Pour se faire plaisir</c:v>
                </c:pt>
                <c:pt idx="3">
                  <c:v>Autre </c:v>
                </c:pt>
              </c:strCache>
            </c:strRef>
          </c:cat>
          <c:val>
            <c:numRef>
              <c:f>'Exercice 3-corrigé'!$P$5:$P$8</c:f>
              <c:numCache>
                <c:formatCode>General</c:formatCode>
                <c:ptCount val="4"/>
                <c:pt idx="0">
                  <c:v>574</c:v>
                </c:pt>
                <c:pt idx="1">
                  <c:v>432</c:v>
                </c:pt>
                <c:pt idx="2">
                  <c:v>598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6-48E1-A2B1-D3D885B47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38343232"/>
        <c:axId val="538344216"/>
      </c:barChart>
      <c:catAx>
        <c:axId val="53834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8344216"/>
        <c:crosses val="autoZero"/>
        <c:auto val="1"/>
        <c:lblAlgn val="ctr"/>
        <c:lblOffset val="100"/>
        <c:noMultiLvlLbl val="0"/>
      </c:catAx>
      <c:valAx>
        <c:axId val="53834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834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Connaissance de Jeff de Bruges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C6-431A-BDB3-620BAF8119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C6-431A-BDB3-620BAF81199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55F04DF9-DB95-469E-A721-E4C2F89967E1}" type="PERCENTAGE">
                      <a:rPr lang="en-US" baseline="0"/>
                      <a:pPr/>
                      <a:t>[POURCENTAGE]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7C6-431A-BDB3-620BAF81199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3235F04D-0DE0-42F1-AA57-5AB7097EA41D}" type="PERCENTAGE">
                      <a:rPr lang="en-US" baseline="0"/>
                      <a:pPr/>
                      <a:t>[POURCENTAGE]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7C6-431A-BDB3-620BAF8119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'Exercice 3-corrigé'!$R$5:$R$6</c:f>
              <c:strCache>
                <c:ptCount val="2"/>
                <c:pt idx="0">
                  <c:v>Oui </c:v>
                </c:pt>
                <c:pt idx="1">
                  <c:v>Non</c:v>
                </c:pt>
              </c:strCache>
            </c:strRef>
          </c:cat>
          <c:val>
            <c:numRef>
              <c:f>'Exercice 3-corrigé'!$S$5:$S$6</c:f>
              <c:numCache>
                <c:formatCode>General</c:formatCode>
                <c:ptCount val="2"/>
                <c:pt idx="0">
                  <c:v>546</c:v>
                </c:pt>
                <c:pt idx="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C6-431A-BDB3-620BAF811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 sz="1400"/>
              <a:t>Achat chez Jeff de Bruges-</a:t>
            </a:r>
          </a:p>
          <a:p>
            <a:pPr>
              <a:defRPr/>
            </a:pPr>
            <a:r>
              <a:rPr lang="fr-FR" sz="1400"/>
              <a:t>sur 546 personnes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A4-4DE9-8D4A-866FDDC48B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A4-4DE9-8D4A-866FDDC48B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'Exercice 3-corrigé'!$U$5:$U$6</c:f>
              <c:strCache>
                <c:ptCount val="2"/>
                <c:pt idx="0">
                  <c:v>Oui </c:v>
                </c:pt>
                <c:pt idx="1">
                  <c:v>Non</c:v>
                </c:pt>
              </c:strCache>
            </c:strRef>
          </c:cat>
          <c:val>
            <c:numRef>
              <c:f>'Exercice 3-corrigé'!$V$5:$V$6</c:f>
              <c:numCache>
                <c:formatCode>General</c:formatCode>
                <c:ptCount val="2"/>
                <c:pt idx="0">
                  <c:v>234</c:v>
                </c:pt>
                <c:pt idx="1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A4-4DE9-8D4A-866FDDC48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 sz="1400"/>
              <a:t>Raisons du non achat chez Jeff de Bruges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'Exercice 3-corrigé'!$Y$5:$Y$9</c:f>
              <c:strCache>
                <c:ptCount val="5"/>
                <c:pt idx="0">
                  <c:v>Pas de magasin près de chez moi</c:v>
                </c:pt>
                <c:pt idx="1">
                  <c:v>Prix trop élevés</c:v>
                </c:pt>
                <c:pt idx="2">
                  <c:v>Qualité insuffisante </c:v>
                </c:pt>
                <c:pt idx="3">
                  <c:v>Manque de choix</c:v>
                </c:pt>
                <c:pt idx="4">
                  <c:v>Je ne sais pas </c:v>
                </c:pt>
              </c:strCache>
            </c:strRef>
          </c:cat>
          <c:val>
            <c:numRef>
              <c:f>'Exercice 3-corrigé'!$Z$5:$Z$9</c:f>
              <c:numCache>
                <c:formatCode>General</c:formatCode>
                <c:ptCount val="5"/>
                <c:pt idx="0">
                  <c:v>123</c:v>
                </c:pt>
                <c:pt idx="1">
                  <c:v>234</c:v>
                </c:pt>
                <c:pt idx="2">
                  <c:v>12</c:v>
                </c:pt>
                <c:pt idx="3">
                  <c:v>34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6-4606-8831-58FD3AAD6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7121032"/>
        <c:axId val="297117096"/>
      </c:barChart>
      <c:catAx>
        <c:axId val="29712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7117096"/>
        <c:crosses val="autoZero"/>
        <c:auto val="1"/>
        <c:lblAlgn val="ctr"/>
        <c:lblOffset val="100"/>
        <c:noMultiLvlLbl val="0"/>
      </c:catAx>
      <c:valAx>
        <c:axId val="29711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7121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Image de Jeff de Bruges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90C-4D3B-9CBB-C248DD3AE62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90C-4D3B-9CBB-C248DD3AE62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0C-4D3B-9CBB-C248DD3AE6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'Exercice 3-corrigé'!$AC$6:$AC$8</c:f>
              <c:strCache>
                <c:ptCount val="3"/>
                <c:pt idx="0">
                  <c:v>Bonne image </c:v>
                </c:pt>
                <c:pt idx="1">
                  <c:v>Aucune image </c:v>
                </c:pt>
                <c:pt idx="2">
                  <c:v>Mauvaise image </c:v>
                </c:pt>
              </c:strCache>
            </c:strRef>
          </c:cat>
          <c:val>
            <c:numRef>
              <c:f>'Exercice 3-corrigé'!$AD$6:$AD$8</c:f>
              <c:numCache>
                <c:formatCode>General</c:formatCode>
                <c:ptCount val="3"/>
                <c:pt idx="0">
                  <c:v>345</c:v>
                </c:pt>
                <c:pt idx="1">
                  <c:v>229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0C-4D3B-9CBB-C248DD3AE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</xdr:colOff>
      <xdr:row>10</xdr:row>
      <xdr:rowOff>42862</xdr:rowOff>
    </xdr:from>
    <xdr:to>
      <xdr:col>5</xdr:col>
      <xdr:colOff>385762</xdr:colOff>
      <xdr:row>24</xdr:row>
      <xdr:rowOff>119062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4FA4648-4E9E-4632-8D9A-A825EA805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80962</xdr:colOff>
      <xdr:row>25</xdr:row>
      <xdr:rowOff>80962</xdr:rowOff>
    </xdr:from>
    <xdr:to>
      <xdr:col>5</xdr:col>
      <xdr:colOff>395287</xdr:colOff>
      <xdr:row>39</xdr:row>
      <xdr:rowOff>157162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343B9B7-AE20-4A1A-8068-A8033C0AD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</xdr:colOff>
      <xdr:row>57</xdr:row>
      <xdr:rowOff>52387</xdr:rowOff>
    </xdr:from>
    <xdr:to>
      <xdr:col>7</xdr:col>
      <xdr:colOff>4762</xdr:colOff>
      <xdr:row>71</xdr:row>
      <xdr:rowOff>128587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DDB0FE5-D255-4DF0-9ECD-C33F3B40B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52387</xdr:colOff>
      <xdr:row>42</xdr:row>
      <xdr:rowOff>61912</xdr:rowOff>
    </xdr:from>
    <xdr:to>
      <xdr:col>7</xdr:col>
      <xdr:colOff>52387</xdr:colOff>
      <xdr:row>56</xdr:row>
      <xdr:rowOff>138112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C407722-A78C-429F-B21E-2BBDFDF57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157162</xdr:colOff>
      <xdr:row>11</xdr:row>
      <xdr:rowOff>128587</xdr:rowOff>
    </xdr:from>
    <xdr:to>
      <xdr:col>12</xdr:col>
      <xdr:colOff>347662</xdr:colOff>
      <xdr:row>26</xdr:row>
      <xdr:rowOff>14287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B47F723-E071-465C-A455-22D672D4B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385762</xdr:colOff>
      <xdr:row>11</xdr:row>
      <xdr:rowOff>33337</xdr:rowOff>
    </xdr:from>
    <xdr:to>
      <xdr:col>17</xdr:col>
      <xdr:colOff>661987</xdr:colOff>
      <xdr:row>25</xdr:row>
      <xdr:rowOff>109537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DBB4EFA-A735-48C0-A774-150E1D636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109537</xdr:colOff>
      <xdr:row>9</xdr:row>
      <xdr:rowOff>52387</xdr:rowOff>
    </xdr:from>
    <xdr:to>
      <xdr:col>24</xdr:col>
      <xdr:colOff>109537</xdr:colOff>
      <xdr:row>23</xdr:row>
      <xdr:rowOff>128587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458D8EC3-E584-4A97-8EC9-C05746862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61912</xdr:colOff>
      <xdr:row>23</xdr:row>
      <xdr:rowOff>176212</xdr:rowOff>
    </xdr:from>
    <xdr:to>
      <xdr:col>24</xdr:col>
      <xdr:colOff>61912</xdr:colOff>
      <xdr:row>38</xdr:row>
      <xdr:rowOff>61912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3EC69223-4EA2-429D-A5B1-C8FC6783D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195262</xdr:colOff>
      <xdr:row>10</xdr:row>
      <xdr:rowOff>23812</xdr:rowOff>
    </xdr:from>
    <xdr:to>
      <xdr:col>29</xdr:col>
      <xdr:colOff>166687</xdr:colOff>
      <xdr:row>24</xdr:row>
      <xdr:rowOff>100012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4E9BCD34-CA8C-4E40-8355-E2E7021DC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233362</xdr:colOff>
      <xdr:row>24</xdr:row>
      <xdr:rowOff>166687</xdr:rowOff>
    </xdr:from>
    <xdr:to>
      <xdr:col>29</xdr:col>
      <xdr:colOff>204787</xdr:colOff>
      <xdr:row>39</xdr:row>
      <xdr:rowOff>52387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F951F4AC-E691-4A05-94E8-B506027B0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7D03-408B-46F6-BB9C-745FF6C151FC}">
  <dimension ref="A1:AD11"/>
  <sheetViews>
    <sheetView tabSelected="1" workbookViewId="0">
      <selection activeCell="Q9" sqref="Q9"/>
    </sheetView>
  </sheetViews>
  <sheetFormatPr baseColWidth="10" defaultRowHeight="15" x14ac:dyDescent="0.25"/>
  <cols>
    <col min="1" max="1" width="18.140625" customWidth="1"/>
    <col min="11" max="11" width="20" customWidth="1"/>
    <col min="15" max="15" width="18.7109375" customWidth="1"/>
    <col min="25" max="25" width="18.5703125" customWidth="1"/>
    <col min="29" max="29" width="16.140625" customWidth="1"/>
  </cols>
  <sheetData>
    <row r="1" spans="1:30" x14ac:dyDescent="0.25">
      <c r="A1" t="s">
        <v>1</v>
      </c>
    </row>
    <row r="3" spans="1:30" x14ac:dyDescent="0.25">
      <c r="A3" t="s">
        <v>2</v>
      </c>
      <c r="K3" t="s">
        <v>15</v>
      </c>
      <c r="R3" t="s">
        <v>27</v>
      </c>
      <c r="Y3" t="s">
        <v>31</v>
      </c>
    </row>
    <row r="4" spans="1:30" x14ac:dyDescent="0.25">
      <c r="A4" s="5"/>
      <c r="B4" s="10" t="s">
        <v>12</v>
      </c>
      <c r="C4" s="10"/>
      <c r="D4" s="10"/>
      <c r="E4" s="10" t="s">
        <v>13</v>
      </c>
      <c r="F4" s="10"/>
      <c r="G4" s="10"/>
      <c r="H4" s="10"/>
      <c r="I4" s="10"/>
      <c r="O4" t="s">
        <v>22</v>
      </c>
      <c r="U4" t="s">
        <v>30</v>
      </c>
      <c r="AC4" t="s">
        <v>37</v>
      </c>
    </row>
    <row r="5" spans="1:30" ht="30" x14ac:dyDescent="0.25">
      <c r="A5" s="5"/>
      <c r="B5" s="3" t="s">
        <v>6</v>
      </c>
      <c r="C5" s="3" t="s">
        <v>7</v>
      </c>
      <c r="D5" s="3" t="s">
        <v>0</v>
      </c>
      <c r="E5" s="3" t="s">
        <v>8</v>
      </c>
      <c r="F5" s="3" t="s">
        <v>9</v>
      </c>
      <c r="G5" s="3" t="s">
        <v>10</v>
      </c>
      <c r="H5" s="6" t="s">
        <v>11</v>
      </c>
      <c r="I5" s="3" t="s">
        <v>14</v>
      </c>
      <c r="K5" s="7" t="s">
        <v>16</v>
      </c>
      <c r="L5" s="4">
        <v>623</v>
      </c>
      <c r="O5" s="8" t="s">
        <v>23</v>
      </c>
      <c r="P5" s="4">
        <v>574</v>
      </c>
      <c r="R5" s="2" t="s">
        <v>28</v>
      </c>
      <c r="S5" s="1">
        <v>546</v>
      </c>
      <c r="U5" s="2" t="s">
        <v>28</v>
      </c>
      <c r="V5" s="1">
        <v>234</v>
      </c>
      <c r="Y5" s="9" t="s">
        <v>32</v>
      </c>
      <c r="Z5" s="1">
        <v>123</v>
      </c>
    </row>
    <row r="6" spans="1:30" x14ac:dyDescent="0.25">
      <c r="A6" s="3" t="s">
        <v>3</v>
      </c>
      <c r="B6" s="5">
        <v>23</v>
      </c>
      <c r="C6" s="5">
        <v>14</v>
      </c>
      <c r="D6" s="5">
        <f>SUM(B6:C6)</f>
        <v>37</v>
      </c>
      <c r="E6" s="5">
        <v>32</v>
      </c>
      <c r="F6" s="5">
        <v>23</v>
      </c>
      <c r="G6" s="5">
        <v>12</v>
      </c>
      <c r="H6" s="5">
        <v>23</v>
      </c>
      <c r="I6" s="5">
        <f>SUM(E6:H6)</f>
        <v>90</v>
      </c>
      <c r="K6" s="8" t="s">
        <v>17</v>
      </c>
      <c r="L6" s="4">
        <v>125</v>
      </c>
      <c r="O6" s="8" t="s">
        <v>24</v>
      </c>
      <c r="P6" s="4">
        <v>432</v>
      </c>
      <c r="R6" s="2" t="s">
        <v>29</v>
      </c>
      <c r="S6" s="1">
        <v>104</v>
      </c>
      <c r="U6" s="2" t="s">
        <v>29</v>
      </c>
      <c r="V6" s="1">
        <v>312</v>
      </c>
      <c r="Y6" s="8" t="s">
        <v>33</v>
      </c>
      <c r="Z6" s="1">
        <v>234</v>
      </c>
      <c r="AC6" s="8" t="s">
        <v>38</v>
      </c>
      <c r="AD6" s="4">
        <v>345</v>
      </c>
    </row>
    <row r="7" spans="1:30" x14ac:dyDescent="0.25">
      <c r="A7" s="3" t="s">
        <v>4</v>
      </c>
      <c r="B7" s="5">
        <v>87</v>
      </c>
      <c r="C7" s="5">
        <v>110</v>
      </c>
      <c r="D7" s="5">
        <f t="shared" ref="D7:D8" si="0">SUM(B7:C7)</f>
        <v>197</v>
      </c>
      <c r="E7" s="5">
        <v>89</v>
      </c>
      <c r="F7" s="5">
        <v>90</v>
      </c>
      <c r="G7" s="5">
        <v>56</v>
      </c>
      <c r="H7" s="5">
        <v>45</v>
      </c>
      <c r="I7" s="5">
        <f t="shared" ref="I7:I8" si="1">SUM(E7:H7)</f>
        <v>280</v>
      </c>
      <c r="K7" s="8" t="s">
        <v>21</v>
      </c>
      <c r="L7" s="4">
        <v>132</v>
      </c>
      <c r="O7" s="8" t="s">
        <v>25</v>
      </c>
      <c r="P7" s="4">
        <v>598</v>
      </c>
      <c r="S7">
        <f>SUM(S5:S6)</f>
        <v>650</v>
      </c>
      <c r="V7">
        <f>SUM(V5:V6)</f>
        <v>546</v>
      </c>
      <c r="Y7" s="8" t="s">
        <v>34</v>
      </c>
      <c r="Z7" s="1">
        <v>12</v>
      </c>
      <c r="AC7" s="8" t="s">
        <v>39</v>
      </c>
      <c r="AD7" s="4">
        <v>229</v>
      </c>
    </row>
    <row r="8" spans="1:30" x14ac:dyDescent="0.25">
      <c r="A8" s="3" t="s">
        <v>5</v>
      </c>
      <c r="B8" s="5">
        <v>187</v>
      </c>
      <c r="C8" s="5">
        <v>229</v>
      </c>
      <c r="D8" s="5">
        <f t="shared" si="0"/>
        <v>416</v>
      </c>
      <c r="E8" s="5">
        <v>27</v>
      </c>
      <c r="F8" s="5">
        <v>43</v>
      </c>
      <c r="G8" s="5">
        <v>98</v>
      </c>
      <c r="H8" s="5">
        <v>112</v>
      </c>
      <c r="I8" s="5">
        <f t="shared" si="1"/>
        <v>280</v>
      </c>
      <c r="K8" s="8" t="s">
        <v>18</v>
      </c>
      <c r="L8" s="4">
        <v>27</v>
      </c>
      <c r="O8" s="8" t="s">
        <v>26</v>
      </c>
      <c r="P8" s="4">
        <v>4</v>
      </c>
      <c r="Y8" s="8" t="s">
        <v>35</v>
      </c>
      <c r="Z8" s="1">
        <v>34</v>
      </c>
      <c r="AC8" s="8" t="s">
        <v>40</v>
      </c>
      <c r="AD8" s="4">
        <v>76</v>
      </c>
    </row>
    <row r="9" spans="1:30" x14ac:dyDescent="0.25">
      <c r="A9" s="3" t="s">
        <v>14</v>
      </c>
      <c r="B9" s="5">
        <f>SUM(B6:B8)</f>
        <v>297</v>
      </c>
      <c r="C9" s="5">
        <f t="shared" ref="C9:H9" si="2">SUM(C6:C8)</f>
        <v>353</v>
      </c>
      <c r="D9" s="5">
        <f t="shared" si="2"/>
        <v>650</v>
      </c>
      <c r="E9" s="5">
        <f t="shared" si="2"/>
        <v>148</v>
      </c>
      <c r="F9" s="5">
        <f t="shared" si="2"/>
        <v>156</v>
      </c>
      <c r="G9" s="5">
        <f t="shared" si="2"/>
        <v>166</v>
      </c>
      <c r="H9" s="5">
        <f t="shared" si="2"/>
        <v>180</v>
      </c>
      <c r="I9" s="5">
        <f>SUM(E9:H9)</f>
        <v>650</v>
      </c>
      <c r="K9" s="8" t="s">
        <v>19</v>
      </c>
      <c r="L9" s="4">
        <v>87</v>
      </c>
      <c r="P9">
        <f>SUM(P5:P8)</f>
        <v>1608</v>
      </c>
      <c r="Y9" s="8" t="s">
        <v>36</v>
      </c>
      <c r="Z9" s="1">
        <v>67</v>
      </c>
      <c r="AD9">
        <f>SUM(AD6:AD8)</f>
        <v>650</v>
      </c>
    </row>
    <row r="10" spans="1:30" x14ac:dyDescent="0.25">
      <c r="K10" s="8" t="s">
        <v>20</v>
      </c>
      <c r="L10" s="4">
        <v>3</v>
      </c>
    </row>
    <row r="11" spans="1:30" x14ac:dyDescent="0.25">
      <c r="L11">
        <f>SUM(L5:L10)</f>
        <v>997</v>
      </c>
    </row>
  </sheetData>
  <mergeCells count="2">
    <mergeCell ref="B4:D4"/>
    <mergeCell ref="E4:I4"/>
  </mergeCells>
  <pageMargins left="0.7" right="0.7" top="0.75" bottom="0.75" header="0.3" footer="0.3"/>
  <pageSetup paperSize="9"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7907A6857764CA978A2DA3C378C20" ma:contentTypeVersion="9" ma:contentTypeDescription="Crée un document." ma:contentTypeScope="" ma:versionID="68a11b05b780f0ecbccd66bf95e1f301">
  <xsd:schema xmlns:xsd="http://www.w3.org/2001/XMLSchema" xmlns:xs="http://www.w3.org/2001/XMLSchema" xmlns:p="http://schemas.microsoft.com/office/2006/metadata/properties" xmlns:ns2="82905250-58d4-4cac-bb0d-b4661e42aa10" xmlns:ns3="83a265cd-4431-46b8-a7ba-0250525921fc" targetNamespace="http://schemas.microsoft.com/office/2006/metadata/properties" ma:root="true" ma:fieldsID="79e6225e35e331f976f59efe8e30220b" ns2:_="" ns3:_="">
    <xsd:import namespace="82905250-58d4-4cac-bb0d-b4661e42aa10"/>
    <xsd:import namespace="83a265cd-4431-46b8-a7ba-025052592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05250-58d4-4cac-bb0d-b4661e42a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265cd-4431-46b8-a7ba-0250525921f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1161bc-43bf-41a1-9c50-cb7d2b21db1b}" ma:internalName="TaxCatchAll" ma:showField="CatchAllData" ma:web="83a265cd-4431-46b8-a7ba-025052592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265cd-4431-46b8-a7ba-0250525921fc" xsi:nil="true"/>
    <lcf76f155ced4ddcb4097134ff3c332f xmlns="82905250-58d4-4cac-bb0d-b4661e42aa1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823BB7-F5C3-4257-9032-1263A6C1FB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05250-58d4-4cac-bb0d-b4661e42aa10"/>
    <ds:schemaRef ds:uri="83a265cd-4431-46b8-a7ba-0250525921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836851-271E-4B3B-B827-D870FD23765F}">
  <ds:schemaRefs>
    <ds:schemaRef ds:uri="http://schemas.microsoft.com/office/2006/metadata/properties"/>
    <ds:schemaRef ds:uri="http://schemas.microsoft.com/office/infopath/2007/PartnerControls"/>
    <ds:schemaRef ds:uri="83a265cd-4431-46b8-a7ba-0250525921fc"/>
    <ds:schemaRef ds:uri="82905250-58d4-4cac-bb0d-b4661e42aa10"/>
  </ds:schemaRefs>
</ds:datastoreItem>
</file>

<file path=customXml/itemProps3.xml><?xml version="1.0" encoding="utf-8"?>
<ds:datastoreItem xmlns:ds="http://schemas.openxmlformats.org/officeDocument/2006/customXml" ds:itemID="{50D29A89-CFA8-4046-9304-B286B8A08E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3-corrigé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chaupart</dc:creator>
  <cp:lastModifiedBy>SARAIVA-LAFON AURELIE</cp:lastModifiedBy>
  <dcterms:created xsi:type="dcterms:W3CDTF">2018-10-04T13:55:12Z</dcterms:created>
  <dcterms:modified xsi:type="dcterms:W3CDTF">2022-05-20T09:24:44Z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0x0101004D27907A6857764CA978A2DA3C378C20</vt:lpwstr>
  </property>
</Properties>
</file>