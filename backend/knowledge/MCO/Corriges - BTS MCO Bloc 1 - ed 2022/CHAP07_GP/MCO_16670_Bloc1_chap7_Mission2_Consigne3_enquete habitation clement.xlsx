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https://hachette-my.sharepoint.com/personal/cbatallan_editions-foucher_fr/Documents/Documents/MCO/16521_MCO BLOC1_GUIDE PEDAGOGIQUE/CHAP07_GP/"/>
    </mc:Choice>
  </mc:AlternateContent>
  <xr:revisionPtr revIDLastSave="2" documentId="11_AC0F3EF7B673335F05255F296FD7F49C6B94B3BF" xr6:coauthVersionLast="47" xr6:coauthVersionMax="47" xr10:uidLastSave="{FC78B7F5-6E9F-4A35-AB42-B89D43195C1A}"/>
  <bookViews>
    <workbookView xWindow="2115" yWindow="450" windowWidth="21360" windowHeight="15180" activeTab="4" xr2:uid="{00000000-000D-0000-FFFF-FFFF00000000}"/>
  </bookViews>
  <sheets>
    <sheet name="Q4-Q9" sheetId="3" r:id="rId1"/>
    <sheet name="Q4-Q11" sheetId="4" r:id="rId2"/>
    <sheet name="Q4-Q12" sheetId="5" r:id="rId3"/>
    <sheet name="Q6-Q9" sheetId="6" r:id="rId4"/>
    <sheet name="Réponses au formulaire " sheetId="1" r:id="rId5"/>
  </sheets>
  <definedNames>
    <definedName name="_xlnm._FilterDatabase" localSheetId="4" hidden="1">'Réponses au formulaire '!$A$1:$M$224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9" i="1" l="1"/>
  <c r="L228" i="1"/>
  <c r="L227" i="1"/>
  <c r="L226" i="1"/>
  <c r="K228" i="1"/>
  <c r="K227" i="1"/>
  <c r="K226" i="1"/>
  <c r="J226" i="1"/>
  <c r="I229" i="1" l="1"/>
  <c r="I228" i="1"/>
  <c r="I227" i="1"/>
  <c r="I226" i="1"/>
  <c r="F228" i="1"/>
  <c r="F227" i="1"/>
  <c r="F226" i="1"/>
  <c r="E229" i="1"/>
  <c r="E228" i="1"/>
  <c r="E227" i="1"/>
  <c r="E226" i="1"/>
  <c r="E231" i="1" s="1"/>
  <c r="F231" i="1" l="1"/>
  <c r="I231" i="1"/>
  <c r="D228" i="1"/>
  <c r="D227" i="1"/>
  <c r="D226" i="1"/>
  <c r="D231" i="1" s="1"/>
  <c r="C230" i="1"/>
  <c r="C229" i="1"/>
  <c r="C228" i="1"/>
  <c r="C227" i="1"/>
  <c r="C226" i="1"/>
  <c r="B229" i="1"/>
  <c r="B227" i="1"/>
  <c r="B226" i="1"/>
  <c r="G227" i="1"/>
  <c r="H227" i="1"/>
  <c r="J227" i="1"/>
  <c r="M227" i="1"/>
  <c r="B228" i="1"/>
  <c r="G228" i="1"/>
  <c r="H228" i="1"/>
  <c r="J228" i="1"/>
  <c r="M228" i="1"/>
  <c r="G229" i="1"/>
  <c r="H229" i="1"/>
  <c r="J229" i="1"/>
  <c r="K229" i="1"/>
  <c r="M229" i="1"/>
  <c r="A228" i="1"/>
  <c r="A229" i="1"/>
  <c r="A227" i="1"/>
  <c r="A226" i="1"/>
  <c r="G226" i="1"/>
  <c r="H226" i="1"/>
  <c r="M226" i="1"/>
  <c r="M231" i="1" l="1"/>
  <c r="H231" i="1"/>
  <c r="G231" i="1"/>
  <c r="B231" i="1"/>
  <c r="C231" i="1"/>
  <c r="L231" i="1"/>
  <c r="A231" i="1"/>
  <c r="K231" i="1"/>
  <c r="J231" i="1"/>
</calcChain>
</file>

<file path=xl/sharedStrings.xml><?xml version="1.0" encoding="utf-8"?>
<sst xmlns="http://schemas.openxmlformats.org/spreadsheetml/2006/main" count="2312" uniqueCount="109">
  <si>
    <t xml:space="preserve">1. Vous diriez de votre visite qu'elle a été : </t>
  </si>
  <si>
    <t xml:space="preserve">2.  Vous diriez des informations affichées tout au long du parcours, qu'elles sont :  </t>
  </si>
  <si>
    <t xml:space="preserve">3. Combien de temps avez-vous consacré à la visite du domaine ? </t>
  </si>
  <si>
    <t xml:space="preserve">4. Si une visite guidée avait été proposée, auriez-vous été intéressé ? </t>
  </si>
  <si>
    <t xml:space="preserve">5. Quel prix total auriez-vous été prêt à payer pour participer à une visite guidée ? </t>
  </si>
  <si>
    <t>6. Quelle pourrait être la durée d'une visite guidée ?</t>
  </si>
  <si>
    <t>7. Sur quelle(s) partie(s) du parc la visite guidée pourrait-elle avoir lieu ?  (Plusieurs réponses possibles) (*rendez-vous Q9)</t>
  </si>
  <si>
    <t>8. Pouvez-vous nous expliquer pourquoi vous n'êtes pas intéressé par une visite guidée ? (Plusieurs réponses possibles)</t>
  </si>
  <si>
    <t xml:space="preserve">9. Vous êtes venu : </t>
  </si>
  <si>
    <t xml:space="preserve">10. Nombre d'enfants </t>
  </si>
  <si>
    <t xml:space="preserve">11. Vous venez de : </t>
  </si>
  <si>
    <t xml:space="preserve">12. Vous restez en Martinique : </t>
  </si>
  <si>
    <t xml:space="preserve">13. Vous avez connu l'Habitation Clément par : </t>
  </si>
  <si>
    <t>Très intéressante</t>
  </si>
  <si>
    <t>Très intéressantes</t>
  </si>
  <si>
    <t>Entre 1 heure et 1 heure 30</t>
  </si>
  <si>
    <t>Au plus 1 heure 30</t>
  </si>
  <si>
    <t>Seul</t>
  </si>
  <si>
    <t>France métropolitaine</t>
  </si>
  <si>
    <t>Entre 1 et 2 semaines</t>
  </si>
  <si>
    <t>le bouche à oreille</t>
  </si>
  <si>
    <t>Sans opinion</t>
  </si>
  <si>
    <t>Moins d' 1 heure</t>
  </si>
  <si>
    <t>Au plus 1 heure</t>
  </si>
  <si>
    <t>Sur l'ensemble du parc</t>
  </si>
  <si>
    <t>C'est trop difficile de suivre avec des enfants.</t>
  </si>
  <si>
    <t>En couple</t>
  </si>
  <si>
    <t>Entre 2 et 3 semaines</t>
  </si>
  <si>
    <t>Internet</t>
  </si>
  <si>
    <t>Entre 1 heure 30 et 2 heures</t>
  </si>
  <si>
    <t>Sur le monde du rhum, Sur le monde industriel</t>
  </si>
  <si>
    <t>Plus de 3 semaines</t>
  </si>
  <si>
    <t>Un guide de voyage, le bouche à oreille</t>
  </si>
  <si>
    <t>Intéressante</t>
  </si>
  <si>
    <t>Intéressantes</t>
  </si>
  <si>
    <t>C'est trop difficile de suivre avec des enfants., je préfère visiter à mon rythme., Je n'aime pas suivre un groupe.</t>
  </si>
  <si>
    <t>En famille</t>
  </si>
  <si>
    <t>Un guide de voyage, Un office de tourisme</t>
  </si>
  <si>
    <t>Peu intéressante</t>
  </si>
  <si>
    <t>C'est souvent trop long., C'est trop difficile de suivre avec des enfants.</t>
  </si>
  <si>
    <t>Un guide de voyage</t>
  </si>
  <si>
    <t>Entre 2 heures  et 2 heures 30</t>
  </si>
  <si>
    <t>Au maximum 15 €.</t>
  </si>
  <si>
    <t>Sur le monde du rhum</t>
  </si>
  <si>
    <t>Un guide de voyage, Internet</t>
  </si>
  <si>
    <t>Grande Bretagne</t>
  </si>
  <si>
    <t>Moins d'1 semaine</t>
  </si>
  <si>
    <t>Un office de tourisme, Internet</t>
  </si>
  <si>
    <t>C'est souvent trop long., C'est trop difficile de suivre avec des enfants., Je n'aime pas suivre un groupe.</t>
  </si>
  <si>
    <t>Mon hôtel/ mon loueur, le bouche à oreille</t>
  </si>
  <si>
    <t>C'est souvent trop long.</t>
  </si>
  <si>
    <t>Martinique</t>
  </si>
  <si>
    <t>j'habite en martinique</t>
  </si>
  <si>
    <t>Je ne souhaite pas avoir d'explication., Je n'aime pas suivre un groupe.</t>
  </si>
  <si>
    <t>Guadeloupe</t>
  </si>
  <si>
    <t>Internet, le bouche à oreille</t>
  </si>
  <si>
    <t>Un office de tourisme</t>
  </si>
  <si>
    <t>C'est souvent trop long., Je ne souhaite pas avoir d'explication.</t>
  </si>
  <si>
    <t>Mon hôtel/ mon loueur</t>
  </si>
  <si>
    <t>Plus de 2 heures 30</t>
  </si>
  <si>
    <t>Entre 15 et 18 €.</t>
  </si>
  <si>
    <t>Au plus 2 heures</t>
  </si>
  <si>
    <t>Sur le monde du rhum, Sur le monde industriel, Sur le monde créole</t>
  </si>
  <si>
    <t>je préfère visiter à mon rythme., Je ne souhaite pas avoir d'explication.</t>
  </si>
  <si>
    <t>Etats Unis</t>
  </si>
  <si>
    <t>C'est souvent trop long., je préfère visiter à mon rythme., Je n'aime pas suivre un groupe.</t>
  </si>
  <si>
    <t>je connais déjà</t>
  </si>
  <si>
    <t>C'est souvent trop long., C'est trop difficile de suivre avec des enfants., je préfère visiter à mon rythme.</t>
  </si>
  <si>
    <t>Canada</t>
  </si>
  <si>
    <t>je préfère visiter à mon rythme.</t>
  </si>
  <si>
    <t>C'est trop difficile de suivre avec des enfants., je préfère visiter à mon rythme.</t>
  </si>
  <si>
    <t>Je ne souhaite pas avoir d'explication.</t>
  </si>
  <si>
    <t>Sur le monde du rhum, Sur le monde créole</t>
  </si>
  <si>
    <t>Les informations sur le parcours sont suffisantes.</t>
  </si>
  <si>
    <t>je préfère visiter à mon rythme., Les informations sur le parcours sont suffisantes.</t>
  </si>
  <si>
    <t>Je n'aime pas suivre un groupe., Les informations sur le parcours sont suffisantes.</t>
  </si>
  <si>
    <t>C'est trop difficile de suivre avec des enfants., Je n'aime pas suivre un groupe., Les informations sur le parcours sont suffisantes.</t>
  </si>
  <si>
    <t>C'est trop difficile de suivre avec des enfants., Les informations sur le parcours sont suffisantes.</t>
  </si>
  <si>
    <t>C'est souvent trop long., C'est trop difficile de suivre avec des enfants., Les informations sur le parcours sont suffisantes.</t>
  </si>
  <si>
    <t>C'est souvent trop long., je préfère visiter à mon rythme.</t>
  </si>
  <si>
    <t>C'est souvent trop long., Je n'aime pas suivre un groupe., Les informations sur le parcours sont suffisantes.</t>
  </si>
  <si>
    <t>Je n'aime pas suivre un groupe.</t>
  </si>
  <si>
    <t>Peu intéressantes</t>
  </si>
  <si>
    <t>je préfère visiter à mon rythme., Je n'aime pas suivre un groupe.</t>
  </si>
  <si>
    <t>Sur le monde botanique, Sur le monde du rhum</t>
  </si>
  <si>
    <t>nous avions déjà un guide</t>
  </si>
  <si>
    <t>Avec un groupe</t>
  </si>
  <si>
    <t>Un office de tourisme, le bouche à oreille</t>
  </si>
  <si>
    <t>C'est souvent trop long., je préfère visiter à mon rythme., Les informations sur le parcours sont suffisantes.</t>
  </si>
  <si>
    <t>C'est souvent trop long., Je n'aime pas suivre un groupe.</t>
  </si>
  <si>
    <t>Je connais bien le domaine</t>
  </si>
  <si>
    <t>Italie</t>
  </si>
  <si>
    <t>Sur l'ensemble du parc, Sur le monde du rhum</t>
  </si>
  <si>
    <t>je préfère visiter à mon rythme., Je n'aime pas suivre un groupe., Les informations sur le parcours sont suffisantes.</t>
  </si>
  <si>
    <t>Étiquettes de lignes</t>
  </si>
  <si>
    <t>Total général</t>
  </si>
  <si>
    <t>Statut</t>
  </si>
  <si>
    <t xml:space="preserve">Si une visite guidée avait été proposée, auriez-vous été intéressé ? </t>
  </si>
  <si>
    <t xml:space="preserve">Non, sûrement pas </t>
  </si>
  <si>
    <t xml:space="preserve">Oui, à condition </t>
  </si>
  <si>
    <t xml:space="preserve">Oui, sûrement </t>
  </si>
  <si>
    <t>Pays</t>
  </si>
  <si>
    <t>Non, sûrement pas</t>
  </si>
  <si>
    <t>Oui, à condition</t>
  </si>
  <si>
    <t>Oui, sûrement</t>
  </si>
  <si>
    <t>Durée de séjour</t>
  </si>
  <si>
    <t>Quelle pourrait être la durée d'une visite guidée ?</t>
  </si>
  <si>
    <t>Durée</t>
  </si>
  <si>
    <t>13 €.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</si>
</sst>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color rgb="FF000000"/>
      <name val="Arial"/>
    </font>
    <font>
      <sz val="10"/>
      <name val="Arial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pivotButton="1" applyFont="1" applyAlignment="1">
      <alignment wrapText="1"/>
    </xf>
    <xf numFmtId="0" fontId="0" fillId="0" borderId="0" xfId="0" pivotButton="1" applyFont="1" applyAlignment="1">
      <alignment horizontal="center" vertical="center" wrapText="1"/>
    </xf>
    <xf numFmtId="9" fontId="0" fillId="0" borderId="0" xfId="1" applyFont="1" applyAlignment="1"/>
    <xf numFmtId="9" fontId="0" fillId="0" borderId="0" xfId="0" applyNumberFormat="1" applyFont="1" applyAlignment="1"/>
    <xf numFmtId="9" fontId="0" fillId="0" borderId="0" xfId="0" applyNumberFormat="1" applyFont="1" applyAlignment="1">
      <alignment horizontal="center" vertical="center"/>
    </xf>
    <xf numFmtId="9" fontId="0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164" fontId="0" fillId="0" borderId="0" xfId="0" applyNumberFormat="1" applyFont="1" applyAlignment="1"/>
  </cellXfs>
  <cellStyles count="2">
    <cellStyle name="Normal" xfId="0" builtinId="0"/>
    <cellStyle name="Pourcentage" xfId="1" builtinId="5"/>
  </cellStyles>
  <dxfs count="85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numFmt numFmtId="13" formatCode="0%"/>
    </dxf>
    <dxf>
      <alignment horizontal="center" readingOrder="0"/>
    </dxf>
    <dxf>
      <alignment vertical="center" readingOrder="0"/>
    </dxf>
    <dxf>
      <numFmt numFmtId="13" formatCode="0%"/>
    </dxf>
    <dxf>
      <numFmt numFmtId="13" formatCode="0%"/>
    </dxf>
    <dxf>
      <numFmt numFmtId="14" formatCode="0.00%"/>
    </dxf>
    <dxf>
      <alignment wrapText="1" readingOrder="0"/>
    </dxf>
    <dxf>
      <alignment horizontal="center" readingOrder="0"/>
    </dxf>
    <dxf>
      <alignment vertical="center" readingOrder="0"/>
    </dxf>
    <dxf>
      <numFmt numFmtId="13" formatCode="0%"/>
    </dxf>
    <dxf>
      <alignment vertical="center" readingOrder="0"/>
    </dxf>
    <dxf>
      <alignment horizontal="center" readingOrder="0"/>
    </dxf>
    <dxf>
      <numFmt numFmtId="13" formatCode="0%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[MCO_16521_Bloc1_chap7_Mission2_Consigne3_enquete habitation clement.xlsx]Q4-Q9!Tableau croisé dynamique2</c:name>
    <c:fmtId val="1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'Q4-Q9'!$B$3:$B$4</c:f>
              <c:strCache>
                <c:ptCount val="1"/>
                <c:pt idx="0">
                  <c:v>Avec un groupe</c:v>
                </c:pt>
              </c:strCache>
            </c:strRef>
          </c:tx>
          <c:invertIfNegative val="0"/>
          <c:cat>
            <c:strRef>
              <c:f>'Q4-Q9'!$A$5:$A$8</c:f>
              <c:strCache>
                <c:ptCount val="3"/>
                <c:pt idx="0">
                  <c:v>Non, sûrement pas </c:v>
                </c:pt>
                <c:pt idx="1">
                  <c:v>Oui, à condition </c:v>
                </c:pt>
                <c:pt idx="2">
                  <c:v>Oui, sûrement </c:v>
                </c:pt>
              </c:strCache>
            </c:strRef>
          </c:cat>
          <c:val>
            <c:numRef>
              <c:f>'Q4-Q9'!$B$5:$B$8</c:f>
              <c:numCache>
                <c:formatCode>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9-481F-BD44-B3B1F0F434CA}"/>
            </c:ext>
          </c:extLst>
        </c:ser>
        <c:ser>
          <c:idx val="1"/>
          <c:order val="1"/>
          <c:tx>
            <c:strRef>
              <c:f>'Q4-Q9'!$C$3:$C$4</c:f>
              <c:strCache>
                <c:ptCount val="1"/>
                <c:pt idx="0">
                  <c:v>En couple</c:v>
                </c:pt>
              </c:strCache>
            </c:strRef>
          </c:tx>
          <c:invertIfNegative val="0"/>
          <c:cat>
            <c:strRef>
              <c:f>'Q4-Q9'!$A$5:$A$8</c:f>
              <c:strCache>
                <c:ptCount val="3"/>
                <c:pt idx="0">
                  <c:v>Non, sûrement pas </c:v>
                </c:pt>
                <c:pt idx="1">
                  <c:v>Oui, à condition </c:v>
                </c:pt>
                <c:pt idx="2">
                  <c:v>Oui, sûrement </c:v>
                </c:pt>
              </c:strCache>
            </c:strRef>
          </c:cat>
          <c:val>
            <c:numRef>
              <c:f>'Q4-Q9'!$C$5:$C$8</c:f>
              <c:numCache>
                <c:formatCode>0%</c:formatCode>
                <c:ptCount val="3"/>
                <c:pt idx="0">
                  <c:v>0.34426229508196721</c:v>
                </c:pt>
                <c:pt idx="1">
                  <c:v>0.45901639344262296</c:v>
                </c:pt>
                <c:pt idx="2">
                  <c:v>0.19672131147540983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9-481F-BD44-B3B1F0F434CA}"/>
            </c:ext>
          </c:extLst>
        </c:ser>
        <c:ser>
          <c:idx val="2"/>
          <c:order val="2"/>
          <c:tx>
            <c:strRef>
              <c:f>'Q4-Q9'!$D$3:$D$4</c:f>
              <c:strCache>
                <c:ptCount val="1"/>
                <c:pt idx="0">
                  <c:v>En famille</c:v>
                </c:pt>
              </c:strCache>
            </c:strRef>
          </c:tx>
          <c:invertIfNegative val="0"/>
          <c:cat>
            <c:strRef>
              <c:f>'Q4-Q9'!$A$5:$A$8</c:f>
              <c:strCache>
                <c:ptCount val="3"/>
                <c:pt idx="0">
                  <c:v>Non, sûrement pas </c:v>
                </c:pt>
                <c:pt idx="1">
                  <c:v>Oui, à condition </c:v>
                </c:pt>
                <c:pt idx="2">
                  <c:v>Oui, sûrement </c:v>
                </c:pt>
              </c:strCache>
            </c:strRef>
          </c:cat>
          <c:val>
            <c:numRef>
              <c:f>'Q4-Q9'!$D$5:$D$8</c:f>
              <c:numCache>
                <c:formatCode>0%</c:formatCode>
                <c:ptCount val="3"/>
                <c:pt idx="0">
                  <c:v>0.38732394366197181</c:v>
                </c:pt>
                <c:pt idx="1">
                  <c:v>0.47183098591549294</c:v>
                </c:pt>
                <c:pt idx="2">
                  <c:v>0.14084507042253522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9-481F-BD44-B3B1F0F434CA}"/>
            </c:ext>
          </c:extLst>
        </c:ser>
        <c:ser>
          <c:idx val="3"/>
          <c:order val="3"/>
          <c:tx>
            <c:strRef>
              <c:f>'Q4-Q9'!$E$3:$E$4</c:f>
              <c:strCache>
                <c:ptCount val="1"/>
                <c:pt idx="0">
                  <c:v>Seul</c:v>
                </c:pt>
              </c:strCache>
            </c:strRef>
          </c:tx>
          <c:invertIfNegative val="0"/>
          <c:cat>
            <c:strRef>
              <c:f>'Q4-Q9'!$A$5:$A$8</c:f>
              <c:strCache>
                <c:ptCount val="3"/>
                <c:pt idx="0">
                  <c:v>Non, sûrement pas </c:v>
                </c:pt>
                <c:pt idx="1">
                  <c:v>Oui, à condition </c:v>
                </c:pt>
                <c:pt idx="2">
                  <c:v>Oui, sûrement </c:v>
                </c:pt>
              </c:strCache>
            </c:strRef>
          </c:cat>
          <c:val>
            <c:numRef>
              <c:f>'Q4-Q9'!$E$5:$E$8</c:f>
              <c:numCache>
                <c:formatCode>0%</c:formatCode>
                <c:ptCount val="3"/>
                <c:pt idx="0">
                  <c:v>0.52941176470588236</c:v>
                </c:pt>
                <c:pt idx="1">
                  <c:v>0.35294117647058826</c:v>
                </c:pt>
                <c:pt idx="2">
                  <c:v>0.11764705882352941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19-481F-BD44-B3B1F0F43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15520"/>
        <c:axId val="144317056"/>
      </c:barChart>
      <c:catAx>
        <c:axId val="144315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317056"/>
        <c:crosses val="autoZero"/>
        <c:auto val="1"/>
        <c:lblAlgn val="ctr"/>
        <c:lblOffset val="100"/>
        <c:noMultiLvlLbl val="0"/>
      </c:catAx>
      <c:valAx>
        <c:axId val="1443170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44315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147353455818022"/>
          <c:y val="0.26755869058034415"/>
          <c:w val="0.23684923490523951"/>
          <c:h val="0.3348687664041994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[MCO_16521_Bloc1_chap7_Mission2_Consigne3_enquete habitation clement.xlsx]Q4-Q11!Tableau croisé dynamique4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'Q4-Q11'!$B$3:$B$4</c:f>
              <c:strCache>
                <c:ptCount val="1"/>
                <c:pt idx="0">
                  <c:v>France métropolitaine</c:v>
                </c:pt>
              </c:strCache>
            </c:strRef>
          </c:tx>
          <c:invertIfNegative val="0"/>
          <c:cat>
            <c:strRef>
              <c:f>'Q4-Q11'!$A$5:$A$8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'Q4-Q11'!$B$5:$B$8</c:f>
              <c:numCache>
                <c:formatCode>0%</c:formatCode>
                <c:ptCount val="3"/>
                <c:pt idx="0">
                  <c:v>0.32203389830508472</c:v>
                </c:pt>
                <c:pt idx="1">
                  <c:v>0.49717514124293788</c:v>
                </c:pt>
                <c:pt idx="2">
                  <c:v>0.1807909604519774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5-429D-A961-39D9AAABA8D8}"/>
            </c:ext>
          </c:extLst>
        </c:ser>
        <c:ser>
          <c:idx val="1"/>
          <c:order val="1"/>
          <c:tx>
            <c:strRef>
              <c:f>'Q4-Q11'!$C$3:$C$4</c:f>
              <c:strCache>
                <c:ptCount val="1"/>
                <c:pt idx="0">
                  <c:v>Guadeloupe</c:v>
                </c:pt>
              </c:strCache>
            </c:strRef>
          </c:tx>
          <c:invertIfNegative val="0"/>
          <c:cat>
            <c:strRef>
              <c:f>'Q4-Q11'!$A$5:$A$8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'Q4-Q11'!$C$5:$C$8</c:f>
              <c:numCache>
                <c:formatCode>0%</c:formatCode>
                <c:ptCount val="3"/>
                <c:pt idx="0">
                  <c:v>0.625</c:v>
                </c:pt>
                <c:pt idx="1">
                  <c:v>0.29166666666666669</c:v>
                </c:pt>
                <c:pt idx="2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5-429D-A961-39D9AAABA8D8}"/>
            </c:ext>
          </c:extLst>
        </c:ser>
        <c:ser>
          <c:idx val="2"/>
          <c:order val="2"/>
          <c:tx>
            <c:strRef>
              <c:f>'Q4-Q11'!$D$3:$D$4</c:f>
              <c:strCache>
                <c:ptCount val="1"/>
                <c:pt idx="0">
                  <c:v>Martinique</c:v>
                </c:pt>
              </c:strCache>
            </c:strRef>
          </c:tx>
          <c:invertIfNegative val="0"/>
          <c:cat>
            <c:strRef>
              <c:f>'Q4-Q11'!$A$5:$A$8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'Q4-Q11'!$D$5:$D$8</c:f>
              <c:numCache>
                <c:formatCode>0%</c:formatCode>
                <c:ptCount val="3"/>
                <c:pt idx="0">
                  <c:v>0.75</c:v>
                </c:pt>
                <c:pt idx="1">
                  <c:v>0.25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5-429D-A961-39D9AAABA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823424"/>
        <c:axId val="148891136"/>
      </c:barChart>
      <c:catAx>
        <c:axId val="148823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8891136"/>
        <c:crosses val="autoZero"/>
        <c:auto val="1"/>
        <c:lblAlgn val="ctr"/>
        <c:lblOffset val="100"/>
        <c:noMultiLvlLbl val="0"/>
      </c:catAx>
      <c:valAx>
        <c:axId val="1488911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4882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[MCO_16521_Bloc1_chap7_Mission2_Consigne3_enquete habitation clement.xlsx]Q4-Q12!Tableau croisé dynamique5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'Q4-Q12'!$B$3:$B$4</c:f>
              <c:strCache>
                <c:ptCount val="1"/>
                <c:pt idx="0">
                  <c:v>Entre 1 et 2 semaines</c:v>
                </c:pt>
              </c:strCache>
            </c:strRef>
          </c:tx>
          <c:invertIfNegative val="0"/>
          <c:cat>
            <c:strRef>
              <c:f>'Q4-Q12'!$A$5:$A$8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'Q4-Q12'!$B$5:$B$8</c:f>
              <c:numCache>
                <c:formatCode>0%</c:formatCode>
                <c:ptCount val="3"/>
                <c:pt idx="0">
                  <c:v>0.30303030303030304</c:v>
                </c:pt>
                <c:pt idx="1">
                  <c:v>0.54545454545454541</c:v>
                </c:pt>
                <c:pt idx="2">
                  <c:v>0.15151515151515152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6-4D4C-9D18-94892D7F3F13}"/>
            </c:ext>
          </c:extLst>
        </c:ser>
        <c:ser>
          <c:idx val="1"/>
          <c:order val="1"/>
          <c:tx>
            <c:strRef>
              <c:f>'Q4-Q12'!$C$3:$C$4</c:f>
              <c:strCache>
                <c:ptCount val="1"/>
                <c:pt idx="0">
                  <c:v>Entre 2 et 3 semaines</c:v>
                </c:pt>
              </c:strCache>
            </c:strRef>
          </c:tx>
          <c:invertIfNegative val="0"/>
          <c:cat>
            <c:strRef>
              <c:f>'Q4-Q12'!$A$5:$A$8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'Q4-Q12'!$C$5:$C$8</c:f>
              <c:numCache>
                <c:formatCode>0%</c:formatCode>
                <c:ptCount val="3"/>
                <c:pt idx="0">
                  <c:v>0.26315789473684209</c:v>
                </c:pt>
                <c:pt idx="1">
                  <c:v>0.42105263157894735</c:v>
                </c:pt>
                <c:pt idx="2">
                  <c:v>0.31578947368421051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6-4D4C-9D18-94892D7F3F13}"/>
            </c:ext>
          </c:extLst>
        </c:ser>
        <c:ser>
          <c:idx val="2"/>
          <c:order val="2"/>
          <c:tx>
            <c:strRef>
              <c:f>'Q4-Q12'!$D$3:$D$4</c:f>
              <c:strCache>
                <c:ptCount val="1"/>
                <c:pt idx="0">
                  <c:v>Moins d'1 semaine</c:v>
                </c:pt>
              </c:strCache>
            </c:strRef>
          </c:tx>
          <c:invertIfNegative val="0"/>
          <c:cat>
            <c:strRef>
              <c:f>'Q4-Q12'!$A$5:$A$8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'Q4-Q12'!$D$5:$D$8</c:f>
              <c:numCache>
                <c:formatCode>0%</c:formatCode>
                <c:ptCount val="3"/>
                <c:pt idx="0">
                  <c:v>0.61538461538461542</c:v>
                </c:pt>
                <c:pt idx="1">
                  <c:v>0.30769230769230771</c:v>
                </c:pt>
                <c:pt idx="2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86-4D4C-9D18-94892D7F3F13}"/>
            </c:ext>
          </c:extLst>
        </c:ser>
        <c:ser>
          <c:idx val="3"/>
          <c:order val="3"/>
          <c:tx>
            <c:strRef>
              <c:f>'Q4-Q12'!$E$3:$E$4</c:f>
              <c:strCache>
                <c:ptCount val="1"/>
                <c:pt idx="0">
                  <c:v>Plus de 3 semaines</c:v>
                </c:pt>
              </c:strCache>
            </c:strRef>
          </c:tx>
          <c:invertIfNegative val="0"/>
          <c:cat>
            <c:strRef>
              <c:f>'Q4-Q12'!$A$5:$A$8</c:f>
              <c:strCache>
                <c:ptCount val="3"/>
                <c:pt idx="0">
                  <c:v>Non, sûrement pas</c:v>
                </c:pt>
                <c:pt idx="1">
                  <c:v>Oui, à condition</c:v>
                </c:pt>
                <c:pt idx="2">
                  <c:v>Oui, sûrement</c:v>
                </c:pt>
              </c:strCache>
            </c:strRef>
          </c:cat>
          <c:val>
            <c:numRef>
              <c:f>'Q4-Q12'!$E$5:$E$8</c:f>
              <c:numCache>
                <c:formatCode>0%</c:formatCode>
                <c:ptCount val="3"/>
                <c:pt idx="0">
                  <c:v>0.125</c:v>
                </c:pt>
                <c:pt idx="1">
                  <c:v>0.375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86-4D4C-9D18-94892D7F3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14752"/>
        <c:axId val="151124224"/>
      </c:barChart>
      <c:catAx>
        <c:axId val="144314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1124224"/>
        <c:crosses val="autoZero"/>
        <c:auto val="1"/>
        <c:lblAlgn val="ctr"/>
        <c:lblOffset val="100"/>
        <c:noMultiLvlLbl val="0"/>
      </c:catAx>
      <c:valAx>
        <c:axId val="1511242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44314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[MCO_16521_Bloc1_chap7_Mission2_Consigne3_enquete habitation clement.xlsx]Q6-Q9!Tableau croisé dynamique6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'Q6-Q9'!$B$3:$B$4</c:f>
              <c:strCache>
                <c:ptCount val="1"/>
                <c:pt idx="0">
                  <c:v>En couple</c:v>
                </c:pt>
              </c:strCache>
            </c:strRef>
          </c:tx>
          <c:invertIfNegative val="0"/>
          <c:cat>
            <c:strRef>
              <c:f>'Q6-Q9'!$A$5:$A$8</c:f>
              <c:strCache>
                <c:ptCount val="3"/>
                <c:pt idx="0">
                  <c:v>Au plus 1 heure</c:v>
                </c:pt>
                <c:pt idx="1">
                  <c:v>Au plus 1 heure 30</c:v>
                </c:pt>
                <c:pt idx="2">
                  <c:v>Au plus 2 heures</c:v>
                </c:pt>
              </c:strCache>
            </c:strRef>
          </c:cat>
          <c:val>
            <c:numRef>
              <c:f>'Q6-Q9'!$B$5:$B$8</c:f>
              <c:numCache>
                <c:formatCode>0%</c:formatCode>
                <c:ptCount val="3"/>
                <c:pt idx="0">
                  <c:v>0.53658536585365857</c:v>
                </c:pt>
                <c:pt idx="1">
                  <c:v>0.3902439024390244</c:v>
                </c:pt>
                <c:pt idx="2">
                  <c:v>7.3170731707317069E-2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2-41A9-B80E-91618D6B4455}"/>
            </c:ext>
          </c:extLst>
        </c:ser>
        <c:ser>
          <c:idx val="1"/>
          <c:order val="1"/>
          <c:tx>
            <c:strRef>
              <c:f>'Q6-Q9'!$C$3:$C$4</c:f>
              <c:strCache>
                <c:ptCount val="1"/>
                <c:pt idx="0">
                  <c:v>En famille</c:v>
                </c:pt>
              </c:strCache>
            </c:strRef>
          </c:tx>
          <c:invertIfNegative val="0"/>
          <c:cat>
            <c:strRef>
              <c:f>'Q6-Q9'!$A$5:$A$8</c:f>
              <c:strCache>
                <c:ptCount val="3"/>
                <c:pt idx="0">
                  <c:v>Au plus 1 heure</c:v>
                </c:pt>
                <c:pt idx="1">
                  <c:v>Au plus 1 heure 30</c:v>
                </c:pt>
                <c:pt idx="2">
                  <c:v>Au plus 2 heures</c:v>
                </c:pt>
              </c:strCache>
            </c:strRef>
          </c:cat>
          <c:val>
            <c:numRef>
              <c:f>'Q6-Q9'!$C$5:$C$8</c:f>
              <c:numCache>
                <c:formatCode>0%</c:formatCode>
                <c:ptCount val="3"/>
                <c:pt idx="0">
                  <c:v>0.4823529411764706</c:v>
                </c:pt>
                <c:pt idx="1">
                  <c:v>0.4823529411764706</c:v>
                </c:pt>
                <c:pt idx="2">
                  <c:v>3.5294117647058823E-2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2-41A9-B80E-91618D6B4455}"/>
            </c:ext>
          </c:extLst>
        </c:ser>
        <c:ser>
          <c:idx val="2"/>
          <c:order val="2"/>
          <c:tx>
            <c:strRef>
              <c:f>'Q6-Q9'!$D$3:$D$4</c:f>
              <c:strCache>
                <c:ptCount val="1"/>
                <c:pt idx="0">
                  <c:v>Seul</c:v>
                </c:pt>
              </c:strCache>
            </c:strRef>
          </c:tx>
          <c:invertIfNegative val="0"/>
          <c:cat>
            <c:strRef>
              <c:f>'Q6-Q9'!$A$5:$A$8</c:f>
              <c:strCache>
                <c:ptCount val="3"/>
                <c:pt idx="0">
                  <c:v>Au plus 1 heure</c:v>
                </c:pt>
                <c:pt idx="1">
                  <c:v>Au plus 1 heure 30</c:v>
                </c:pt>
                <c:pt idx="2">
                  <c:v>Au plus 2 heures</c:v>
                </c:pt>
              </c:strCache>
            </c:strRef>
          </c:cat>
          <c:val>
            <c:numRef>
              <c:f>'Q6-Q9'!$D$5:$D$8</c:f>
              <c:numCache>
                <c:formatCode>0%</c:formatCode>
                <c:ptCount val="3"/>
                <c:pt idx="0">
                  <c:v>0.75</c:v>
                </c:pt>
                <c:pt idx="1">
                  <c:v>0.25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2-41A9-B80E-91618D6B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932032"/>
        <c:axId val="143937536"/>
      </c:barChart>
      <c:catAx>
        <c:axId val="143932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3937536"/>
        <c:crosses val="autoZero"/>
        <c:auto val="1"/>
        <c:lblAlgn val="ctr"/>
        <c:lblOffset val="100"/>
        <c:noMultiLvlLbl val="0"/>
      </c:catAx>
      <c:valAx>
        <c:axId val="14393753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4393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9</xdr:row>
      <xdr:rowOff>114300</xdr:rowOff>
    </xdr:from>
    <xdr:to>
      <xdr:col>6</xdr:col>
      <xdr:colOff>142875</xdr:colOff>
      <xdr:row>26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104775</xdr:rowOff>
    </xdr:from>
    <xdr:to>
      <xdr:col>5</xdr:col>
      <xdr:colOff>171450</xdr:colOff>
      <xdr:row>26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8</xdr:row>
      <xdr:rowOff>152400</xdr:rowOff>
    </xdr:from>
    <xdr:to>
      <xdr:col>4</xdr:col>
      <xdr:colOff>285750</xdr:colOff>
      <xdr:row>25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123825</xdr:rowOff>
    </xdr:from>
    <xdr:to>
      <xdr:col>5</xdr:col>
      <xdr:colOff>400050</xdr:colOff>
      <xdr:row>25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le chaupart" refreshedDate="43363.676289236108" createdVersion="3" refreshedVersion="3" minRefreshableVersion="3" recordCount="224" xr:uid="{00000000-000A-0000-FFFF-FFFF0E000000}">
  <cacheSource type="worksheet">
    <worksheetSource ref="A1:M223" sheet="Réponses au formulaire "/>
  </cacheSource>
  <cacheFields count="13">
    <cacheField name="1. Vous diriez de votre visite qu'elle a été : " numFmtId="0">
      <sharedItems count="4">
        <s v="Très intéressante"/>
        <s v="Sans opinion"/>
        <s v="Intéressante"/>
        <s v="Peu intéressante"/>
      </sharedItems>
    </cacheField>
    <cacheField name="2.  Vous diriez des informations affichées tout au long du parcours, qu'elles sont :  " numFmtId="0">
      <sharedItems/>
    </cacheField>
    <cacheField name="3. Combien de temps avez-vous consacré à la visite du domaine ? " numFmtId="0">
      <sharedItems/>
    </cacheField>
    <cacheField name="4. Si une visite guidée avait été proposée, auriez-vous été intéressé ? " numFmtId="0">
      <sharedItems count="3">
        <s v="Oui, sûrement (*Q5)"/>
        <s v="Non, sûrement pas (*Q8)"/>
        <s v="Oui, à condition (*Q5)"/>
      </sharedItems>
    </cacheField>
    <cacheField name="5. Quel prix total auriez-vous été prêt à payer pour participer à une visite guidée ? " numFmtId="0">
      <sharedItems containsBlank="1"/>
    </cacheField>
    <cacheField name="6. Quelle pourrait être la durée d'une visite guidée ?" numFmtId="0">
      <sharedItems containsBlank="1" count="4">
        <s v="Au plus 1 heure 30"/>
        <s v="Au plus 1 heure"/>
        <m/>
        <s v="Au plus 2 heures"/>
      </sharedItems>
    </cacheField>
    <cacheField name="7. Sur quelle(s) partie(s) du parc la visite guidée pourrait-elle avoir lieu ?  (Plusieurs réponses possibles) (*rendez-vous Q9)" numFmtId="0">
      <sharedItems containsBlank="1"/>
    </cacheField>
    <cacheField name="8. Pouvez-vous nous expliquer pourquoi vous n'êtes pas intéressé par une visite guidée ? (Plusieurs réponses possibles)" numFmtId="0">
      <sharedItems containsBlank="1"/>
    </cacheField>
    <cacheField name="9. Vous êtes venu : " numFmtId="0">
      <sharedItems containsBlank="1" count="5">
        <s v="Seul"/>
        <s v="En couple"/>
        <s v="En famille"/>
        <m/>
        <s v="Avec un groupe"/>
      </sharedItems>
    </cacheField>
    <cacheField name="10. Nombre d'enfants " numFmtId="0">
      <sharedItems containsString="0" containsBlank="1" containsNumber="1" containsInteger="1" minValue="0" maxValue="4"/>
    </cacheField>
    <cacheField name="11. Vous venez de : " numFmtId="0">
      <sharedItems count="7">
        <s v="France métropolitaine"/>
        <s v="Grande Bretagne"/>
        <s v="Martinique"/>
        <s v="Guadeloupe"/>
        <s v="Etats Unis"/>
        <s v="Canada"/>
        <s v="Italie"/>
      </sharedItems>
    </cacheField>
    <cacheField name="12. Vous restez en Martinique : " numFmtId="0">
      <sharedItems containsBlank="1" count="6">
        <s v="Entre 1 et 2 semaines"/>
        <s v="Entre 2 et 3 semaines"/>
        <s v="Plus de 3 semaines"/>
        <s v="Moins d'1 semaine"/>
        <s v="j'habite en martinique"/>
        <m/>
      </sharedItems>
    </cacheField>
    <cacheField name="13. Vous avez connu l'Habitation Clément par :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4">
  <r>
    <x v="0"/>
    <s v="Très intéressantes"/>
    <s v="Entre 1 heure et 1 heure 30"/>
    <x v="0"/>
    <s v="Le prix actuel du billet d'entrée, soit 13 €."/>
    <x v="0"/>
    <s v="Sur le monde Créole"/>
    <m/>
    <x v="0"/>
    <m/>
    <x v="0"/>
    <x v="0"/>
    <s v="le bouche à oreille"/>
  </r>
  <r>
    <x v="1"/>
    <s v="Très intéressantes"/>
    <s v="Moins d' 1 heure"/>
    <x v="1"/>
    <s v="Plus de 18 €."/>
    <x v="1"/>
    <s v="Sur l'ensemble du parc"/>
    <s v="C'est trop difficile de suivre avec des enfants."/>
    <x v="1"/>
    <m/>
    <x v="0"/>
    <x v="1"/>
    <s v="Internet"/>
  </r>
  <r>
    <x v="0"/>
    <s v="Sans opinion"/>
    <s v="Entre 1 heure 30 et 2 heures"/>
    <x v="2"/>
    <s v="Le prix actuel du billet d'entrée, soit 13 €."/>
    <x v="0"/>
    <s v="Sur le monde du rhum, Sur le monde industriel"/>
    <m/>
    <x v="1"/>
    <n v="0"/>
    <x v="0"/>
    <x v="2"/>
    <s v="Un guide de voyage, le bouche à oreille"/>
  </r>
  <r>
    <x v="2"/>
    <s v="Intéressantes"/>
    <s v="Entre 1 heure et 1 heure 30"/>
    <x v="1"/>
    <m/>
    <x v="2"/>
    <m/>
    <s v="C'est trop difficile de suivre avec des enfants., je préfère visiter à mon rythme., Je n'aime pas suivre un groupe."/>
    <x v="2"/>
    <n v="3"/>
    <x v="0"/>
    <x v="0"/>
    <s v="Un guide de voyage, Un office de tourisme"/>
  </r>
  <r>
    <x v="3"/>
    <s v="Sans opinion"/>
    <s v="Moins d' 1 heure"/>
    <x v="1"/>
    <m/>
    <x v="2"/>
    <m/>
    <s v="C'est souvent trop long., C'est trop difficile de suivre avec des enfants."/>
    <x v="2"/>
    <n v="1"/>
    <x v="0"/>
    <x v="0"/>
    <s v="Un guide de voyage"/>
  </r>
  <r>
    <x v="0"/>
    <s v="Très intéressantes"/>
    <s v="Entre 2 heures  et 2 heures 30"/>
    <x v="0"/>
    <s v="Au maximum 15 €."/>
    <x v="0"/>
    <s v="Sur le monde du rhum, Sur le monde industriel"/>
    <m/>
    <x v="2"/>
    <n v="1"/>
    <x v="0"/>
    <x v="0"/>
    <s v="Internet"/>
  </r>
  <r>
    <x v="2"/>
    <s v="Intéressantes"/>
    <s v="Entre 1 heure 30 et 2 heures"/>
    <x v="2"/>
    <s v="Au maximum 15 €."/>
    <x v="0"/>
    <s v="Sur le monde du rhum"/>
    <m/>
    <x v="2"/>
    <n v="2"/>
    <x v="0"/>
    <x v="0"/>
    <s v="Internet"/>
  </r>
  <r>
    <x v="0"/>
    <s v="Intéressantes"/>
    <s v="Entre 1 heure et 1 heure 30"/>
    <x v="1"/>
    <m/>
    <x v="2"/>
    <m/>
    <s v="C'est trop difficile de suivre avec des enfants."/>
    <x v="2"/>
    <n v="3"/>
    <x v="0"/>
    <x v="0"/>
    <s v="Un guide de voyage, Internet"/>
  </r>
  <r>
    <x v="2"/>
    <s v="Sans opinion"/>
    <s v="Entre 1 heure 30 et 2 heures"/>
    <x v="2"/>
    <s v="Au maximum 15 €."/>
    <x v="0"/>
    <s v="Sur le monde du rhum, Sur le monde industriel"/>
    <m/>
    <x v="2"/>
    <n v="1"/>
    <x v="1"/>
    <x v="3"/>
    <s v="Internet"/>
  </r>
  <r>
    <x v="0"/>
    <s v="Intéressantes"/>
    <s v="Entre 2 heures  et 2 heures 30"/>
    <x v="0"/>
    <s v="Le prix actuel du billet d'entrée, soit 13 €."/>
    <x v="2"/>
    <s v="Sur le monde du rhum, Sur le monde industriel"/>
    <m/>
    <x v="2"/>
    <n v="1"/>
    <x v="0"/>
    <x v="3"/>
    <s v="Un guide de voyage"/>
  </r>
  <r>
    <x v="0"/>
    <s v="Très intéressantes"/>
    <s v="Entre 1 heure 30 et 2 heures"/>
    <x v="2"/>
    <s v="Le prix actuel du billet d'entrée, soit 13 €."/>
    <x v="1"/>
    <s v="Sur le monde du rhum"/>
    <m/>
    <x v="2"/>
    <n v="2"/>
    <x v="0"/>
    <x v="0"/>
    <s v="Internet"/>
  </r>
  <r>
    <x v="2"/>
    <s v="Sans opinion"/>
    <s v="Entre 2 heures  et 2 heures 30"/>
    <x v="0"/>
    <s v="Au maximum 15 €."/>
    <x v="0"/>
    <s v="Sur l'ensemble du parc"/>
    <m/>
    <x v="2"/>
    <n v="1"/>
    <x v="0"/>
    <x v="3"/>
    <s v="Un guide de voyage"/>
  </r>
  <r>
    <x v="2"/>
    <s v="Sans opinion"/>
    <s v="Entre 1 heure et 1 heure 30"/>
    <x v="2"/>
    <s v="Au maximum 15 €."/>
    <x v="1"/>
    <s v="Sur le monde du rhum"/>
    <m/>
    <x v="2"/>
    <n v="2"/>
    <x v="0"/>
    <x v="0"/>
    <s v="Un office de tourisme, Internet"/>
  </r>
  <r>
    <x v="2"/>
    <s v="Intéressantes"/>
    <s v="Entre 1 heure 30 et 2 heures"/>
    <x v="1"/>
    <m/>
    <x v="2"/>
    <m/>
    <s v="C'est souvent trop long., C'est trop difficile de suivre avec des enfants., Je n'aime pas suivre un groupe."/>
    <x v="2"/>
    <n v="3"/>
    <x v="0"/>
    <x v="3"/>
    <s v="Un guide de voyage"/>
  </r>
  <r>
    <x v="0"/>
    <s v="Très intéressantes"/>
    <s v="Entre 2 heures  et 2 heures 30"/>
    <x v="0"/>
    <s v="Au maximum 15 €."/>
    <x v="0"/>
    <s v="Sur l'ensemble du parc"/>
    <m/>
    <x v="2"/>
    <n v="1"/>
    <x v="0"/>
    <x v="0"/>
    <s v="Mon hôtel/ mon loueur, le bouche à oreille"/>
  </r>
  <r>
    <x v="2"/>
    <s v="Sans opinion"/>
    <s v="Entre 1 heure et 1 heure 30"/>
    <x v="1"/>
    <m/>
    <x v="2"/>
    <m/>
    <s v="C'est souvent trop long."/>
    <x v="2"/>
    <n v="1"/>
    <x v="2"/>
    <x v="4"/>
    <s v="le bouche à oreille"/>
  </r>
  <r>
    <x v="3"/>
    <s v="Sans opinion"/>
    <s v="Moins d' 1 heure"/>
    <x v="1"/>
    <m/>
    <x v="2"/>
    <m/>
    <s v="Je ne souhaite pas avoir d'explication., Je n'aime pas suivre un groupe."/>
    <x v="2"/>
    <n v="3"/>
    <x v="3"/>
    <x v="3"/>
    <s v="Internet, le bouche à oreille"/>
  </r>
  <r>
    <x v="2"/>
    <s v="Intéressantes"/>
    <s v="Entre 1 heure 30 et 2 heures"/>
    <x v="2"/>
    <s v="Au maximum 15 €."/>
    <x v="0"/>
    <s v="Sur le monde du rhum, Sur le monde industriel"/>
    <m/>
    <x v="2"/>
    <n v="1"/>
    <x v="0"/>
    <x v="0"/>
    <s v="Un guide de voyage"/>
  </r>
  <r>
    <x v="0"/>
    <s v="Très intéressantes"/>
    <s v="Entre 2 heures  et 2 heures 30"/>
    <x v="2"/>
    <s v="Au maximum 15 €."/>
    <x v="0"/>
    <s v="Sur l'ensemble du parc"/>
    <m/>
    <x v="2"/>
    <n v="1"/>
    <x v="3"/>
    <x v="3"/>
    <s v="le bouche à oreille"/>
  </r>
  <r>
    <x v="2"/>
    <s v="Intéressantes"/>
    <s v="Entre 1 heure 30 et 2 heures"/>
    <x v="0"/>
    <s v="Le prix actuel du billet d'entrée, soit 13 €."/>
    <x v="1"/>
    <s v="Sur le monde du rhum"/>
    <m/>
    <x v="2"/>
    <n v="2"/>
    <x v="0"/>
    <x v="0"/>
    <s v="Un office de tourisme"/>
  </r>
  <r>
    <x v="0"/>
    <s v="Intéressantes"/>
    <s v="Entre 1 heure 30 et 2 heures"/>
    <x v="2"/>
    <s v="Le prix actuel du billet d'entrée, soit 13 €."/>
    <x v="1"/>
    <s v="Sur le monde du rhum"/>
    <m/>
    <x v="2"/>
    <n v="2"/>
    <x v="3"/>
    <x v="3"/>
    <s v="le bouche à oreille"/>
  </r>
  <r>
    <x v="2"/>
    <s v="Sans opinion"/>
    <s v="Entre 1 heure 30 et 2 heures"/>
    <x v="1"/>
    <m/>
    <x v="2"/>
    <m/>
    <s v="C'est souvent trop long., Je ne souhaite pas avoir d'explication."/>
    <x v="2"/>
    <n v="2"/>
    <x v="2"/>
    <x v="4"/>
    <s v="le bouche à oreille"/>
  </r>
  <r>
    <x v="2"/>
    <s v="Intéressantes"/>
    <s v="Entre 1 heure 30 et 2 heures"/>
    <x v="2"/>
    <s v="Au maximum 15 €."/>
    <x v="1"/>
    <s v="Sur le monde du rhum"/>
    <m/>
    <x v="2"/>
    <n v="1"/>
    <x v="0"/>
    <x v="0"/>
    <s v="Mon hôtel/ mon loueur"/>
  </r>
  <r>
    <x v="0"/>
    <s v="Très intéressantes"/>
    <s v="Plus de 2 heures 30"/>
    <x v="0"/>
    <s v="Au maximum 15 €."/>
    <x v="0"/>
    <s v="Sur l'ensemble du parc"/>
    <m/>
    <x v="2"/>
    <n v="2"/>
    <x v="0"/>
    <x v="0"/>
    <s v="Un guide de voyage"/>
  </r>
  <r>
    <x v="2"/>
    <s v="Intéressantes"/>
    <s v="Entre 2 heures  et 2 heures 30"/>
    <x v="2"/>
    <s v="Le prix actuel du billet d'entrée, soit 13 €."/>
    <x v="1"/>
    <s v="Sur le monde du rhum"/>
    <m/>
    <x v="2"/>
    <n v="1"/>
    <x v="3"/>
    <x v="3"/>
    <s v="le bouche à oreille"/>
  </r>
  <r>
    <x v="2"/>
    <s v="Intéressantes"/>
    <s v="Entre 1 heure 30 et 2 heures"/>
    <x v="2"/>
    <s v="Le prix actuel du billet d'entrée, soit 13 €."/>
    <x v="1"/>
    <s v="Sur le monde du rhum"/>
    <m/>
    <x v="2"/>
    <n v="1"/>
    <x v="0"/>
    <x v="0"/>
    <s v="Un office de tourisme"/>
  </r>
  <r>
    <x v="0"/>
    <s v="Intéressantes"/>
    <s v="Entre 1 heure 30 et 2 heures"/>
    <x v="2"/>
    <s v="Au maximum 15 €."/>
    <x v="0"/>
    <s v="Sur l'ensemble du parc"/>
    <m/>
    <x v="2"/>
    <n v="2"/>
    <x v="0"/>
    <x v="1"/>
    <s v="Un guide de voyage"/>
  </r>
  <r>
    <x v="2"/>
    <s v="Sans opinion"/>
    <s v="Entre 1 heure et 1 heure 30"/>
    <x v="1"/>
    <m/>
    <x v="2"/>
    <m/>
    <s v="C'est souvent trop long."/>
    <x v="2"/>
    <n v="2"/>
    <x v="0"/>
    <x v="0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0"/>
    <s v="Internet"/>
  </r>
  <r>
    <x v="0"/>
    <s v="Intéressantes"/>
    <s v="Entre 1 heure 30 et 2 heures"/>
    <x v="2"/>
    <s v="Le prix actuel du billet d'entrée, soit 13 €."/>
    <x v="1"/>
    <s v="Sur le monde du rhum"/>
    <m/>
    <x v="2"/>
    <n v="1"/>
    <x v="0"/>
    <x v="0"/>
    <s v="Internet"/>
  </r>
  <r>
    <x v="2"/>
    <s v="Sans opinion"/>
    <s v="Entre 1 heure et 1 heure 30"/>
    <x v="1"/>
    <m/>
    <x v="2"/>
    <m/>
    <s v="C'est souvent trop long."/>
    <x v="2"/>
    <n v="1"/>
    <x v="0"/>
    <x v="3"/>
    <s v="le bouche à oreille"/>
  </r>
  <r>
    <x v="0"/>
    <s v="Très intéressantes"/>
    <s v="Plus de 2 heures 30"/>
    <x v="0"/>
    <s v="Entre 15 et 18 €."/>
    <x v="3"/>
    <s v="Sur l'ensemble du parc"/>
    <m/>
    <x v="2"/>
    <n v="2"/>
    <x v="0"/>
    <x v="0"/>
    <s v="Un guide de voyage"/>
  </r>
  <r>
    <x v="2"/>
    <s v="Intéressantes"/>
    <s v="Entre 1 heure 30 et 2 heures"/>
    <x v="2"/>
    <s v="Au maximum 15 €."/>
    <x v="0"/>
    <s v="Sur l'ensemble du parc"/>
    <m/>
    <x v="2"/>
    <n v="2"/>
    <x v="3"/>
    <x v="3"/>
    <s v="le bouche à oreille"/>
  </r>
  <r>
    <x v="2"/>
    <s v="Intéressantes"/>
    <s v="Entre 1 heure 30 et 2 heures"/>
    <x v="2"/>
    <s v="Le prix actuel du billet d'entrée, soit 13 €."/>
    <x v="1"/>
    <s v="Sur le monde du rhum"/>
    <m/>
    <x v="2"/>
    <n v="1"/>
    <x v="0"/>
    <x v="0"/>
    <s v="Un guide de voyage"/>
  </r>
  <r>
    <x v="0"/>
    <s v="Intéressantes"/>
    <s v="Entre 2 heures  et 2 heures 30"/>
    <x v="2"/>
    <s v="Au maximum 15 €."/>
    <x v="0"/>
    <s v="Sur le monde du rhum, Sur le monde industriel, Sur le monde créole"/>
    <m/>
    <x v="2"/>
    <n v="3"/>
    <x v="0"/>
    <x v="1"/>
    <s v="Un guide de voyage"/>
  </r>
  <r>
    <x v="3"/>
    <s v="Sans opinion"/>
    <s v="Entre 1 heure et 1 heure 30"/>
    <x v="1"/>
    <m/>
    <x v="2"/>
    <m/>
    <s v="je préfère visiter à mon rythme., Je ne souhaite pas avoir d'explication."/>
    <x v="2"/>
    <n v="2"/>
    <x v="3"/>
    <x v="3"/>
    <s v="je connais déjà"/>
  </r>
  <r>
    <x v="0"/>
    <s v="Très intéressantes"/>
    <s v="Entre 2 heures  et 2 heures 30"/>
    <x v="0"/>
    <s v="Au maximum 15 €."/>
    <x v="3"/>
    <s v="Sur l'ensemble du parc"/>
    <m/>
    <x v="2"/>
    <n v="2"/>
    <x v="0"/>
    <x v="1"/>
    <s v="Internet"/>
  </r>
  <r>
    <x v="0"/>
    <s v="Intéressantes"/>
    <s v="Entre 2 heures  et 2 heures 30"/>
    <x v="2"/>
    <s v="Au maximum 15 €."/>
    <x v="0"/>
    <s v="Sur le monde du rhum, Sur le monde industriel"/>
    <m/>
    <x v="2"/>
    <n v="1"/>
    <x v="4"/>
    <x v="3"/>
    <s v="Un guide de voyage"/>
  </r>
  <r>
    <x v="0"/>
    <s v="Très intéressantes"/>
    <s v="Entre 2 heures  et 2 heures 30"/>
    <x v="0"/>
    <s v="Au maximum 15 €."/>
    <x v="0"/>
    <s v="Sur l'ensemble du parc"/>
    <m/>
    <x v="2"/>
    <n v="2"/>
    <x v="0"/>
    <x v="0"/>
    <s v="Un office de tourisme"/>
  </r>
  <r>
    <x v="0"/>
    <s v="Très intéressantes"/>
    <s v="Entre 1 heure 30 et 2 heures"/>
    <x v="2"/>
    <s v="Le prix actuel du billet d'entrée, soit 13 €."/>
    <x v="1"/>
    <s v="Sur le monde du rhum"/>
    <m/>
    <x v="2"/>
    <n v="2"/>
    <x v="0"/>
    <x v="0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0"/>
    <s v="Internet"/>
  </r>
  <r>
    <x v="2"/>
    <s v="Sans opinion"/>
    <s v="Entre 1 heure 30 et 2 heures"/>
    <x v="1"/>
    <m/>
    <x v="2"/>
    <m/>
    <s v="Je ne souhaite pas avoir d'explication., Je n'aime pas suivre un groupe."/>
    <x v="2"/>
    <n v="2"/>
    <x v="3"/>
    <x v="3"/>
    <s v="Internet"/>
  </r>
  <r>
    <x v="0"/>
    <s v="Très intéressantes"/>
    <s v="Entre 2 heures  et 2 heures 30"/>
    <x v="2"/>
    <s v="Le prix actuel du billet d'entrée, soit 13 €."/>
    <x v="0"/>
    <s v="Sur le monde du rhum"/>
    <m/>
    <x v="2"/>
    <n v="3"/>
    <x v="0"/>
    <x v="0"/>
    <s v="Un office de tourisme"/>
  </r>
  <r>
    <x v="2"/>
    <s v="Sans opinion"/>
    <s v="Entre 1 heure 30 et 2 heures"/>
    <x v="1"/>
    <m/>
    <x v="2"/>
    <m/>
    <s v="C'est souvent trop long., je préfère visiter à mon rythme., Je n'aime pas suivre un groupe."/>
    <x v="2"/>
    <n v="3"/>
    <x v="0"/>
    <x v="0"/>
    <s v="Un guide de voyage"/>
  </r>
  <r>
    <x v="2"/>
    <s v="Intéressantes"/>
    <s v="Entre 2 heures  et 2 heures 30"/>
    <x v="2"/>
    <s v="Le prix actuel du billet d'entrée, soit 13 €."/>
    <x v="1"/>
    <s v="Sur le monde du rhum"/>
    <m/>
    <x v="2"/>
    <n v="2"/>
    <x v="0"/>
    <x v="0"/>
    <s v="Un office de tourisme"/>
  </r>
  <r>
    <x v="2"/>
    <s v="Sans opinion"/>
    <s v="Entre 1 heure 30 et 2 heures"/>
    <x v="1"/>
    <m/>
    <x v="2"/>
    <m/>
    <s v="C'est trop difficile de suivre avec des enfants."/>
    <x v="2"/>
    <n v="2"/>
    <x v="0"/>
    <x v="0"/>
    <s v="Un guide de voyage"/>
  </r>
  <r>
    <x v="3"/>
    <s v="Sans opinion"/>
    <s v="Entre 1 heure et 1 heure 30"/>
    <x v="1"/>
    <m/>
    <x v="2"/>
    <m/>
    <s v="C'est souvent trop long."/>
    <x v="2"/>
    <n v="3"/>
    <x v="0"/>
    <x v="0"/>
    <s v="le bouche à oreille"/>
  </r>
  <r>
    <x v="0"/>
    <s v="Très intéressantes"/>
    <s v="Entre 2 heures  et 2 heures 30"/>
    <x v="0"/>
    <s v="Au maximum 15 €."/>
    <x v="0"/>
    <s v="Sur l'ensemble du parc"/>
    <m/>
    <x v="2"/>
    <n v="2"/>
    <x v="0"/>
    <x v="0"/>
    <s v="Internet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0"/>
    <s v="Un guide de voyage"/>
  </r>
  <r>
    <x v="0"/>
    <s v="Très intéressantes"/>
    <s v="Plus de 2 heures 30"/>
    <x v="0"/>
    <s v="Au maximum 15 €."/>
    <x v="0"/>
    <s v="Sur l'ensemble du parc"/>
    <m/>
    <x v="2"/>
    <n v="2"/>
    <x v="0"/>
    <x v="1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2"/>
    <x v="3"/>
    <x v="3"/>
    <s v="le bouche à oreille"/>
  </r>
  <r>
    <x v="0"/>
    <s v="Très intéressantes"/>
    <s v="Entre 2 heures  et 2 heures 30"/>
    <x v="2"/>
    <s v="Au maximum 15 €."/>
    <x v="0"/>
    <s v="Sur l'ensemble du parc"/>
    <m/>
    <x v="2"/>
    <n v="2"/>
    <x v="0"/>
    <x v="0"/>
    <s v="Internet"/>
  </r>
  <r>
    <x v="0"/>
    <s v="Très intéressantes"/>
    <s v="Entre 2 heures  et 2 heures 30"/>
    <x v="0"/>
    <s v="Le prix actuel du billet d'entrée, soit 13 €."/>
    <x v="0"/>
    <s v="Sur le monde du rhum"/>
    <m/>
    <x v="2"/>
    <n v="2"/>
    <x v="0"/>
    <x v="0"/>
    <s v="Un office de tourisme"/>
  </r>
  <r>
    <x v="0"/>
    <s v="Intéressantes"/>
    <s v="Entre 1 heure 30 et 2 heures"/>
    <x v="2"/>
    <s v="Le prix actuel du billet d'entrée, soit 13 €."/>
    <x v="2"/>
    <s v="Sur le monde du rhum"/>
    <m/>
    <x v="2"/>
    <n v="1"/>
    <x v="0"/>
    <x v="0"/>
    <s v="Un guide de voyage"/>
  </r>
  <r>
    <x v="0"/>
    <s v="Très intéressantes"/>
    <s v="Entre 2 heures  et 2 heures 30"/>
    <x v="0"/>
    <s v="Au maximum 15 €."/>
    <x v="0"/>
    <s v="Sur le monde du rhum, Sur le monde industriel"/>
    <m/>
    <x v="1"/>
    <m/>
    <x v="0"/>
    <x v="2"/>
    <s v="Un guide de voyage"/>
  </r>
  <r>
    <x v="0"/>
    <s v="Très intéressantes"/>
    <s v="Entre 1 heure 30 et 2 heures"/>
    <x v="2"/>
    <s v="Le prix actuel du billet d'entrée, soit 13 €."/>
    <x v="1"/>
    <s v="Sur le monde du rhum, Sur le monde industriel"/>
    <m/>
    <x v="0"/>
    <m/>
    <x v="0"/>
    <x v="0"/>
    <s v="Un guide de voyage"/>
  </r>
  <r>
    <x v="0"/>
    <s v="Très intéressantes"/>
    <s v="Entre 2 heures  et 2 heures 30"/>
    <x v="2"/>
    <s v="Au maximum 15 €."/>
    <x v="0"/>
    <s v="Sur le monde du rhum"/>
    <m/>
    <x v="2"/>
    <n v="2"/>
    <x v="0"/>
    <x v="0"/>
    <s v="Un office de tourisme"/>
  </r>
  <r>
    <x v="2"/>
    <s v="Intéressantes"/>
    <s v="Entre 1 heure 30 et 2 heures"/>
    <x v="2"/>
    <s v="Le prix actuel du billet d'entrée, soit 13 €."/>
    <x v="1"/>
    <s v="Sur le monde du rhum"/>
    <m/>
    <x v="2"/>
    <n v="1"/>
    <x v="0"/>
    <x v="0"/>
    <s v="Un guide de voyage"/>
  </r>
  <r>
    <x v="2"/>
    <s v="Intéressantes"/>
    <s v="Entre 1 heure 30 et 2 heures"/>
    <x v="2"/>
    <s v="Au maximum 15 €."/>
    <x v="1"/>
    <s v="Sur le monde du rhum"/>
    <m/>
    <x v="2"/>
    <n v="2"/>
    <x v="2"/>
    <x v="4"/>
    <s v="je connais déjà"/>
  </r>
  <r>
    <x v="0"/>
    <s v="Très intéressantes"/>
    <s v="Entre 2 heures  et 2 heures 30"/>
    <x v="2"/>
    <s v="Au maximum 15 €."/>
    <x v="0"/>
    <s v="Sur l'ensemble du parc"/>
    <m/>
    <x v="2"/>
    <n v="3"/>
    <x v="0"/>
    <x v="1"/>
    <s v="Un guide de voyage"/>
  </r>
  <r>
    <x v="0"/>
    <s v="Intéressantes"/>
    <s v="Entre 1 heure 30 et 2 heures"/>
    <x v="2"/>
    <s v="Le prix actuel du billet d'entrée, soit 13 €."/>
    <x v="0"/>
    <s v="Sur le monde du rhum, Sur le monde industriel, Sur le monde créole"/>
    <m/>
    <x v="2"/>
    <n v="2"/>
    <x v="0"/>
    <x v="0"/>
    <s v="le bouche à oreille"/>
  </r>
  <r>
    <x v="3"/>
    <s v="Sans opinion"/>
    <s v="Entre 1 heure et 1 heure 30"/>
    <x v="1"/>
    <m/>
    <x v="2"/>
    <m/>
    <s v="C'est souvent trop long., C'est trop difficile de suivre avec des enfants., je préfère visiter à mon rythme."/>
    <x v="2"/>
    <n v="2"/>
    <x v="0"/>
    <x v="0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1"/>
    <x v="0"/>
    <x v="0"/>
    <s v="Mon hôtel/ mon loueur"/>
  </r>
  <r>
    <x v="0"/>
    <s v="Très intéressantes"/>
    <s v="Entre 2 heures  et 2 heures 30"/>
    <x v="2"/>
    <s v="Au maximum 15 €."/>
    <x v="0"/>
    <s v="Sur l'ensemble du parc"/>
    <m/>
    <x v="2"/>
    <n v="2"/>
    <x v="0"/>
    <x v="0"/>
    <s v="Internet"/>
  </r>
  <r>
    <x v="2"/>
    <s v="Intéressantes"/>
    <s v="Entre 1 heure 30 et 2 heures"/>
    <x v="2"/>
    <s v="Le prix actuel du billet d'entrée, soit 13 €."/>
    <x v="1"/>
    <s v="Sur le monde du rhum"/>
    <m/>
    <x v="2"/>
    <n v="3"/>
    <x v="0"/>
    <x v="0"/>
    <s v="Internet"/>
  </r>
  <r>
    <x v="0"/>
    <s v="Très intéressantes"/>
    <s v="Entre 2 heures  et 2 heures 30"/>
    <x v="0"/>
    <s v="Au maximum 15 €."/>
    <x v="0"/>
    <s v="Sur l'ensemble du parc"/>
    <m/>
    <x v="2"/>
    <n v="1"/>
    <x v="3"/>
    <x v="3"/>
    <s v="le bouche à oreille"/>
  </r>
  <r>
    <x v="0"/>
    <s v="Très intéressantes"/>
    <s v="Plus de 2 heures 30"/>
    <x v="2"/>
    <s v="Le prix actuel du billet d'entrée, soit 13 €."/>
    <x v="0"/>
    <s v="Sur l'ensemble du parc"/>
    <m/>
    <x v="2"/>
    <n v="1"/>
    <x v="0"/>
    <x v="0"/>
    <s v="Internet"/>
  </r>
  <r>
    <x v="2"/>
    <s v="Sans opinion"/>
    <s v="Entre 1 heure 30 et 2 heures"/>
    <x v="1"/>
    <m/>
    <x v="2"/>
    <m/>
    <s v="C'est souvent trop long., C'est trop difficile de suivre avec des enfants."/>
    <x v="2"/>
    <n v="2"/>
    <x v="5"/>
    <x v="3"/>
    <s v="Un guide de voyage"/>
  </r>
  <r>
    <x v="0"/>
    <s v="Très intéressantes"/>
    <s v="Plus de 2 heures 30"/>
    <x v="0"/>
    <s v="Au maximum 15 €."/>
    <x v="0"/>
    <s v="Sur l'ensemble du parc"/>
    <m/>
    <x v="2"/>
    <n v="2"/>
    <x v="0"/>
    <x v="1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1"/>
    <x v="4"/>
    <x v="3"/>
    <s v="Internet"/>
  </r>
  <r>
    <x v="0"/>
    <s v="Très intéressantes"/>
    <s v="Entre 2 heures  et 2 heures 30"/>
    <x v="2"/>
    <s v="Le prix actuel du billet d'entrée, soit 13 €."/>
    <x v="1"/>
    <s v="Sur le monde du rhum, Sur le monde industriel"/>
    <m/>
    <x v="2"/>
    <n v="1"/>
    <x v="0"/>
    <x v="3"/>
    <s v="Un guide de voyage"/>
  </r>
  <r>
    <x v="0"/>
    <s v="Très intéressantes"/>
    <s v="Entre 2 heures  et 2 heures 30"/>
    <x v="2"/>
    <s v="Au maximum 15 €."/>
    <x v="0"/>
    <s v="Sur l'ensemble du parc"/>
    <m/>
    <x v="2"/>
    <n v="2"/>
    <x v="0"/>
    <x v="0"/>
    <s v="Un office de tourisme"/>
  </r>
  <r>
    <x v="0"/>
    <s v="Très intéressantes"/>
    <s v="Entre 2 heures  et 2 heures 30"/>
    <x v="0"/>
    <s v="Au maximum 15 €."/>
    <x v="0"/>
    <s v="Sur l'ensemble du parc"/>
    <m/>
    <x v="2"/>
    <n v="2"/>
    <x v="0"/>
    <x v="0"/>
    <s v="Un office de tourisme"/>
  </r>
  <r>
    <x v="0"/>
    <s v="Très intéressantes"/>
    <s v="Entre 1 heure 30 et 2 heures"/>
    <x v="1"/>
    <m/>
    <x v="2"/>
    <m/>
    <s v="je préfère visiter à mon rythme."/>
    <x v="2"/>
    <n v="2"/>
    <x v="0"/>
    <x v="0"/>
    <s v="Internet"/>
  </r>
  <r>
    <x v="0"/>
    <s v="Très intéressantes"/>
    <s v="Entre 2 heures  et 2 heures 30"/>
    <x v="2"/>
    <s v="Au maximum 15 €."/>
    <x v="1"/>
    <s v="Sur le monde du rhum"/>
    <m/>
    <x v="2"/>
    <n v="1"/>
    <x v="0"/>
    <x v="0"/>
    <s v="Un office de tourisme"/>
  </r>
  <r>
    <x v="2"/>
    <s v="Sans opinion"/>
    <s v="Entre 1 heure 30 et 2 heures"/>
    <x v="1"/>
    <m/>
    <x v="2"/>
    <m/>
    <s v="je préfère visiter à mon rythme."/>
    <x v="2"/>
    <n v="1"/>
    <x v="3"/>
    <x v="3"/>
    <s v="Un guide de voyage"/>
  </r>
  <r>
    <x v="0"/>
    <s v="Très intéressantes"/>
    <s v="Entre 2 heures  et 2 heures 30"/>
    <x v="2"/>
    <s v="Le prix actuel du billet d'entrée, soit 13 €."/>
    <x v="1"/>
    <s v="Sur le monde du rhum"/>
    <m/>
    <x v="2"/>
    <n v="2"/>
    <x v="0"/>
    <x v="0"/>
    <s v="Internet"/>
  </r>
  <r>
    <x v="0"/>
    <s v="Très intéressantes"/>
    <s v="Entre 1 heure 30 et 2 heures"/>
    <x v="2"/>
    <s v="Au maximum 15 €."/>
    <x v="0"/>
    <s v="Sur l'ensemble du parc"/>
    <m/>
    <x v="2"/>
    <n v="1"/>
    <x v="2"/>
    <x v="4"/>
    <s v="le bouche à oreille"/>
  </r>
  <r>
    <x v="0"/>
    <s v="Très intéressantes"/>
    <s v="Plus de 2 heures 30"/>
    <x v="0"/>
    <s v="Entre 15 et 18 €."/>
    <x v="3"/>
    <s v="Sur l'ensemble du parc"/>
    <m/>
    <x v="2"/>
    <n v="2"/>
    <x v="0"/>
    <x v="1"/>
    <s v="Un guide de voyage, le bouche à oreille"/>
  </r>
  <r>
    <x v="0"/>
    <s v="Intéressantes"/>
    <s v="Entre 2 heures  et 2 heures 30"/>
    <x v="1"/>
    <m/>
    <x v="2"/>
    <m/>
    <s v="C'est trop difficile de suivre avec des enfants., je préfère visiter à mon rythme."/>
    <x v="2"/>
    <n v="2"/>
    <x v="0"/>
    <x v="0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0"/>
    <s v="Internet"/>
  </r>
  <r>
    <x v="0"/>
    <s v="Intéressantes"/>
    <s v="Entre 2 heures  et 2 heures 30"/>
    <x v="1"/>
    <m/>
    <x v="2"/>
    <m/>
    <s v="C'est souvent trop long., C'est trop difficile de suivre avec des enfants., je préfère visiter à mon rythme."/>
    <x v="2"/>
    <n v="3"/>
    <x v="0"/>
    <x v="0"/>
    <s v="Internet"/>
  </r>
  <r>
    <x v="0"/>
    <s v="Intéressantes"/>
    <s v="Entre 2 heures  et 2 heures 30"/>
    <x v="2"/>
    <s v="Au maximum 15 €."/>
    <x v="0"/>
    <s v="Sur l'ensemble du parc"/>
    <m/>
    <x v="2"/>
    <n v="1"/>
    <x v="0"/>
    <x v="0"/>
    <s v="Un office de tourisme"/>
  </r>
  <r>
    <x v="0"/>
    <s v="Très intéressantes"/>
    <s v="Entre 1 heure 30 et 2 heures"/>
    <x v="1"/>
    <m/>
    <x v="2"/>
    <m/>
    <s v="je préfère visiter à mon rythme."/>
    <x v="2"/>
    <n v="2"/>
    <x v="0"/>
    <x v="0"/>
    <s v="Un office de tourisme"/>
  </r>
  <r>
    <x v="0"/>
    <s v="Très intéressantes"/>
    <s v="Entre 2 heures  et 2 heures 30"/>
    <x v="2"/>
    <s v="Au maximum 15 €."/>
    <x v="0"/>
    <s v="Sur le monde du rhum, Sur le monde industriel"/>
    <m/>
    <x v="2"/>
    <n v="1"/>
    <x v="0"/>
    <x v="0"/>
    <s v="Un guide de voyage"/>
  </r>
  <r>
    <x v="0"/>
    <s v="Sans opinion"/>
    <s v="Entre 1 heure 30 et 2 heures"/>
    <x v="1"/>
    <m/>
    <x v="2"/>
    <m/>
    <s v="Je ne souhaite pas avoir d'explication."/>
    <x v="2"/>
    <n v="2"/>
    <x v="0"/>
    <x v="0"/>
    <s v="Un office de tourisme"/>
  </r>
  <r>
    <x v="0"/>
    <s v="Très intéressantes"/>
    <s v="Entre 2 heures  et 2 heures 30"/>
    <x v="2"/>
    <s v="Au maximum 15 €."/>
    <x v="0"/>
    <s v="Sur le monde du rhum, Sur le monde créole"/>
    <m/>
    <x v="2"/>
    <n v="1"/>
    <x v="0"/>
    <x v="0"/>
    <s v="Un guide de voyage"/>
  </r>
  <r>
    <x v="0"/>
    <s v="Très intéressantes"/>
    <s v="Plus de 2 heures 30"/>
    <x v="2"/>
    <s v="Le prix actuel du billet d'entrée, soit 13 €."/>
    <x v="0"/>
    <s v="Sur l'ensemble du parc"/>
    <m/>
    <x v="2"/>
    <n v="2"/>
    <x v="0"/>
    <x v="0"/>
    <s v="Internet"/>
  </r>
  <r>
    <x v="0"/>
    <s v="Très intéressantes"/>
    <s v="Entre 2 heures  et 2 heures 30"/>
    <x v="1"/>
    <m/>
    <x v="2"/>
    <m/>
    <s v="C'est trop difficile de suivre avec des enfants., je préfère visiter à mon rythme."/>
    <x v="2"/>
    <n v="3"/>
    <x v="0"/>
    <x v="0"/>
    <s v="Un guide de voyage"/>
  </r>
  <r>
    <x v="2"/>
    <s v="Intéressantes"/>
    <s v="Entre 1 heure 30 et 2 heures"/>
    <x v="1"/>
    <m/>
    <x v="2"/>
    <m/>
    <s v="C'est trop difficile de suivre avec des enfants., je préfère visiter à mon rythme."/>
    <x v="2"/>
    <n v="1"/>
    <x v="0"/>
    <x v="3"/>
    <s v="Mon hôtel/ mon loueur"/>
  </r>
  <r>
    <x v="0"/>
    <s v="Très intéressantes"/>
    <s v="Entre 2 heures  et 2 heures 30"/>
    <x v="1"/>
    <m/>
    <x v="2"/>
    <m/>
    <s v="je préfère visiter à mon rythme."/>
    <x v="2"/>
    <n v="2"/>
    <x v="0"/>
    <x v="0"/>
    <s v="le bouche à oreille"/>
  </r>
  <r>
    <x v="0"/>
    <s v="Très intéressantes"/>
    <s v="Entre 2 heures  et 2 heures 30"/>
    <x v="0"/>
    <s v="Au maximum 15 €."/>
    <x v="0"/>
    <s v="Sur l'ensemble du parc"/>
    <m/>
    <x v="2"/>
    <n v="1"/>
    <x v="3"/>
    <x v="3"/>
    <s v="le bouche à oreille"/>
  </r>
  <r>
    <x v="2"/>
    <s v="Intéressantes"/>
    <s v="Entre 1 heure 30 et 2 heures"/>
    <x v="1"/>
    <m/>
    <x v="2"/>
    <m/>
    <s v="C'est trop difficile de suivre avec des enfants., je préfère visiter à mon rythme."/>
    <x v="2"/>
    <n v="2"/>
    <x v="0"/>
    <x v="0"/>
    <s v="Internet"/>
  </r>
  <r>
    <x v="2"/>
    <s v="Intéressantes"/>
    <s v="Entre 2 heures  et 2 heures 30"/>
    <x v="2"/>
    <s v="Le prix actuel du billet d'entrée, soit 13 €."/>
    <x v="1"/>
    <s v="Sur le monde du rhum"/>
    <m/>
    <x v="2"/>
    <n v="1"/>
    <x v="0"/>
    <x v="0"/>
    <s v="Un guide de voyage"/>
  </r>
  <r>
    <x v="0"/>
    <s v="Très intéressantes"/>
    <s v="Entre 1 heure 30 et 2 heures"/>
    <x v="1"/>
    <m/>
    <x v="2"/>
    <m/>
    <s v="je préfère visiter à mon rythme."/>
    <x v="2"/>
    <n v="2"/>
    <x v="4"/>
    <x v="3"/>
    <s v="Internet"/>
  </r>
  <r>
    <x v="0"/>
    <s v="Très intéressantes"/>
    <s v="Entre 1 heure 30 et 2 heures"/>
    <x v="2"/>
    <s v="Le prix actuel du billet d'entrée, soit 13 €."/>
    <x v="0"/>
    <s v="Sur le monde du rhum, Sur le monde industriel"/>
    <m/>
    <x v="2"/>
    <n v="2"/>
    <x v="0"/>
    <x v="0"/>
    <s v="Un office de tourisme"/>
  </r>
  <r>
    <x v="0"/>
    <s v="Intéressantes"/>
    <s v="Entre 2 heures  et 2 heures 30"/>
    <x v="1"/>
    <m/>
    <x v="2"/>
    <m/>
    <s v="Les informations sur le parcours sont suffisantes."/>
    <x v="2"/>
    <n v="2"/>
    <x v="0"/>
    <x v="1"/>
    <s v="Un guide de voyage"/>
  </r>
  <r>
    <x v="2"/>
    <s v="Sans opinion"/>
    <s v="Entre 1 heure 30 et 2 heures"/>
    <x v="1"/>
    <m/>
    <x v="2"/>
    <m/>
    <s v="je préfère visiter à mon rythme."/>
    <x v="2"/>
    <n v="1"/>
    <x v="0"/>
    <x v="0"/>
    <s v="Un office de tourisme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0"/>
    <s v="Internet"/>
  </r>
  <r>
    <x v="0"/>
    <s v="Très intéressantes"/>
    <s v="Entre 2 heures  et 2 heures 30"/>
    <x v="1"/>
    <m/>
    <x v="2"/>
    <m/>
    <s v="C'est trop difficile de suivre avec des enfants., je préfère visiter à mon rythme."/>
    <x v="2"/>
    <n v="3"/>
    <x v="0"/>
    <x v="1"/>
    <s v="Internet"/>
  </r>
  <r>
    <x v="2"/>
    <s v="Intéressantes"/>
    <s v="Entre 2 heures  et 2 heures 30"/>
    <x v="2"/>
    <s v="Le prix actuel du billet d'entrée, soit 13 €."/>
    <x v="1"/>
    <s v="Sur le monde du rhum"/>
    <m/>
    <x v="2"/>
    <n v="2"/>
    <x v="0"/>
    <x v="0"/>
    <s v="le bouche à oreille"/>
  </r>
  <r>
    <x v="0"/>
    <s v="Très intéressantes"/>
    <s v="Entre 2 heures  et 2 heures 30"/>
    <x v="2"/>
    <s v="Le prix actuel du billet d'entrée, soit 13 €."/>
    <x v="1"/>
    <s v="Sur le monde du rhum, Sur le monde créole"/>
    <m/>
    <x v="2"/>
    <n v="2"/>
    <x v="0"/>
    <x v="0"/>
    <s v="Un office de tourisme"/>
  </r>
  <r>
    <x v="0"/>
    <s v="Très intéressantes"/>
    <s v="Entre 1 heure 30 et 2 heures"/>
    <x v="2"/>
    <s v="Le prix actuel du billet d'entrée, soit 13 €."/>
    <x v="1"/>
    <s v="Sur le monde du rhum"/>
    <m/>
    <x v="2"/>
    <n v="2"/>
    <x v="0"/>
    <x v="0"/>
    <s v="Un guide de voyage"/>
  </r>
  <r>
    <x v="2"/>
    <s v="Sans opinion"/>
    <s v="Entre 1 heure et 1 heure 30"/>
    <x v="1"/>
    <m/>
    <x v="2"/>
    <m/>
    <s v="je préfère visiter à mon rythme."/>
    <x v="2"/>
    <n v="2"/>
    <x v="3"/>
    <x v="3"/>
    <s v="le bouche à oreille"/>
  </r>
  <r>
    <x v="0"/>
    <s v="Très intéressantes"/>
    <s v="Entre 1 heure 30 et 2 heures"/>
    <x v="2"/>
    <s v="Au maximum 15 €."/>
    <x v="1"/>
    <s v="Sur le monde du rhum"/>
    <m/>
    <x v="2"/>
    <n v="1"/>
    <x v="0"/>
    <x v="0"/>
    <s v="Un guide de voyage"/>
  </r>
  <r>
    <x v="2"/>
    <s v="Intéressantes"/>
    <s v="Entre 1 heure et 1 heure 30"/>
    <x v="1"/>
    <m/>
    <x v="2"/>
    <m/>
    <s v="C'est souvent trop long."/>
    <x v="2"/>
    <n v="2"/>
    <x v="0"/>
    <x v="0"/>
    <s v="Un office de tourisme"/>
  </r>
  <r>
    <x v="2"/>
    <s v="Sans opinion"/>
    <s v="Entre 1 heure 30 et 2 heures"/>
    <x v="1"/>
    <m/>
    <x v="2"/>
    <m/>
    <s v="Je ne souhaite pas avoir d'explication., Je n'aime pas suivre un groupe."/>
    <x v="2"/>
    <n v="1"/>
    <x v="0"/>
    <x v="0"/>
    <s v="Un office de tourisme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1"/>
    <s v="Internet"/>
  </r>
  <r>
    <x v="0"/>
    <s v="Intéressantes"/>
    <s v="Entre 1 heure 30 et 2 heures"/>
    <x v="1"/>
    <m/>
    <x v="2"/>
    <m/>
    <s v="Les informations sur le parcours sont suffisantes."/>
    <x v="2"/>
    <n v="2"/>
    <x v="0"/>
    <x v="0"/>
    <s v="Internet"/>
  </r>
  <r>
    <x v="0"/>
    <s v="Intéressantes"/>
    <s v="Entre 2 heures  et 2 heures 30"/>
    <x v="2"/>
    <s v="Au maximum 15 €."/>
    <x v="0"/>
    <s v="Sur le monde du rhum, Sur le monde industriel"/>
    <m/>
    <x v="2"/>
    <n v="1"/>
    <x v="0"/>
    <x v="0"/>
    <s v="Internet"/>
  </r>
  <r>
    <x v="3"/>
    <s v="Sans opinion"/>
    <s v="Entre 1 heure et 1 heure 30"/>
    <x v="1"/>
    <m/>
    <x v="2"/>
    <m/>
    <s v="Je ne souhaite pas avoir d'explication."/>
    <x v="2"/>
    <n v="3"/>
    <x v="0"/>
    <x v="3"/>
    <s v="Un guide de voyage"/>
  </r>
  <r>
    <x v="2"/>
    <s v="Intéressantes"/>
    <s v="Entre 1 heure 30 et 2 heures"/>
    <x v="2"/>
    <s v="Le prix actuel du billet d'entrée, soit 13 €."/>
    <x v="1"/>
    <s v="Sur le monde du rhum"/>
    <m/>
    <x v="2"/>
    <n v="1"/>
    <x v="0"/>
    <x v="0"/>
    <s v="le bouche à oreille"/>
  </r>
  <r>
    <x v="0"/>
    <s v="Intéressantes"/>
    <s v="Entre 2 heures  et 2 heures 30"/>
    <x v="0"/>
    <s v="Entre 15 et 18 €."/>
    <x v="0"/>
    <s v="Sur l'ensemble du parc"/>
    <m/>
    <x v="2"/>
    <n v="2"/>
    <x v="0"/>
    <x v="1"/>
    <s v="Un guide de voyage, le bouche à oreille"/>
  </r>
  <r>
    <x v="0"/>
    <s v="Très intéressantes"/>
    <s v="Entre 2 heures  et 2 heures 30"/>
    <x v="2"/>
    <s v="Au maximum 15 €."/>
    <x v="1"/>
    <s v="Sur le monde du rhum, Sur le monde créole"/>
    <m/>
    <x v="2"/>
    <n v="1"/>
    <x v="3"/>
    <x v="3"/>
    <s v="le bouche à oreille"/>
  </r>
  <r>
    <x v="0"/>
    <s v="Très intéressantes"/>
    <s v="Entre 2 heures  et 2 heures 30"/>
    <x v="1"/>
    <m/>
    <x v="2"/>
    <m/>
    <s v="je préfère visiter à mon rythme., Les informations sur le parcours sont suffisantes."/>
    <x v="2"/>
    <n v="1"/>
    <x v="0"/>
    <x v="0"/>
    <s v="Mon hôtel/ mon loueur"/>
  </r>
  <r>
    <x v="2"/>
    <s v="Intéressantes"/>
    <s v="Entre 2 heures  et 2 heures 30"/>
    <x v="2"/>
    <s v="Au maximum 15 €."/>
    <x v="1"/>
    <s v="Sur le monde du rhum"/>
    <m/>
    <x v="2"/>
    <n v="2"/>
    <x v="0"/>
    <x v="0"/>
    <s v="Internet"/>
  </r>
  <r>
    <x v="0"/>
    <s v="Sans opinion"/>
    <s v="Entre 1 heure 30 et 2 heures"/>
    <x v="1"/>
    <m/>
    <x v="2"/>
    <m/>
    <s v="je préfère visiter à mon rythme., Je ne souhaite pas avoir d'explication."/>
    <x v="2"/>
    <n v="1"/>
    <x v="3"/>
    <x v="3"/>
    <s v="le bouche à oreille"/>
  </r>
  <r>
    <x v="0"/>
    <s v="Très intéressantes"/>
    <s v="Entre 2 heures  et 2 heures 30"/>
    <x v="2"/>
    <s v="Entre 15 et 18 €."/>
    <x v="1"/>
    <s v="Sur le monde du rhum"/>
    <m/>
    <x v="2"/>
    <n v="2"/>
    <x v="0"/>
    <x v="0"/>
    <s v="le bouche à oreille"/>
  </r>
  <r>
    <x v="0"/>
    <s v="Très intéressantes"/>
    <s v="Entre 1 heure 30 et 2 heures"/>
    <x v="1"/>
    <m/>
    <x v="2"/>
    <m/>
    <s v="Je n'aime pas suivre un groupe., Les informations sur le parcours sont suffisantes."/>
    <x v="2"/>
    <n v="1"/>
    <x v="0"/>
    <x v="3"/>
    <s v="Un guide de voyage, le bouche à oreille"/>
  </r>
  <r>
    <x v="0"/>
    <s v="Intéressantes"/>
    <s v="Entre 2 heures  et 2 heures 30"/>
    <x v="1"/>
    <m/>
    <x v="2"/>
    <m/>
    <s v="C'est trop difficile de suivre avec des enfants."/>
    <x v="2"/>
    <n v="3"/>
    <x v="0"/>
    <x v="0"/>
    <s v="Un guide de voyage"/>
  </r>
  <r>
    <x v="0"/>
    <s v="Très intéressantes"/>
    <s v="Entre 2 heures  et 2 heures 30"/>
    <x v="1"/>
    <m/>
    <x v="2"/>
    <m/>
    <s v="C'est trop difficile de suivre avec des enfants., Je n'aime pas suivre un groupe., Les informations sur le parcours sont suffisantes."/>
    <x v="2"/>
    <n v="1"/>
    <x v="0"/>
    <x v="0"/>
    <s v="Un office de tourisme"/>
  </r>
  <r>
    <x v="2"/>
    <s v="Sans opinion"/>
    <s v="Entre 1 heure et 1 heure 30"/>
    <x v="1"/>
    <m/>
    <x v="2"/>
    <m/>
    <s v="Je ne souhaite pas avoir d'explication."/>
    <x v="2"/>
    <n v="2"/>
    <x v="3"/>
    <x v="3"/>
    <s v="le bouche à oreille"/>
  </r>
  <r>
    <x v="0"/>
    <s v="Intéressantes"/>
    <s v="Entre 2 heures  et 2 heures 30"/>
    <x v="2"/>
    <s v="Au maximum 15 €."/>
    <x v="1"/>
    <s v="Sur le monde du rhum"/>
    <m/>
    <x v="2"/>
    <n v="1"/>
    <x v="0"/>
    <x v="0"/>
    <s v="Un guide de voyage"/>
  </r>
  <r>
    <x v="0"/>
    <s v="Très intéressantes"/>
    <s v="Entre 1 heure 30 et 2 heures"/>
    <x v="2"/>
    <m/>
    <x v="0"/>
    <m/>
    <m/>
    <x v="2"/>
    <n v="2"/>
    <x v="0"/>
    <x v="0"/>
    <s v="Un guide de voyage"/>
  </r>
  <r>
    <x v="0"/>
    <s v="Très intéressantes"/>
    <s v="Entre 1 heure 30 et 2 heures"/>
    <x v="1"/>
    <m/>
    <x v="2"/>
    <m/>
    <s v="C'est trop difficile de suivre avec des enfants., Les informations sur le parcours sont suffisantes."/>
    <x v="2"/>
    <n v="2"/>
    <x v="0"/>
    <x v="3"/>
    <s v="Un office de tourisme"/>
  </r>
  <r>
    <x v="2"/>
    <s v="Sans opinion"/>
    <s v="Entre 1 heure 30 et 2 heures"/>
    <x v="1"/>
    <m/>
    <x v="2"/>
    <m/>
    <s v="Je ne souhaite pas avoir d'explication."/>
    <x v="2"/>
    <n v="1"/>
    <x v="0"/>
    <x v="5"/>
    <s v="Internet"/>
  </r>
  <r>
    <x v="2"/>
    <s v="Intéressantes"/>
    <s v="Entre 1 heure 30 et 2 heures"/>
    <x v="2"/>
    <s v="Le prix actuel du billet d'entrée, soit 13 €."/>
    <x v="1"/>
    <s v="Sur le monde du rhum"/>
    <m/>
    <x v="2"/>
    <n v="2"/>
    <x v="0"/>
    <x v="0"/>
    <s v="Internet"/>
  </r>
  <r>
    <x v="2"/>
    <s v="Intéressantes"/>
    <s v="Entre 1 heure 30 et 2 heures"/>
    <x v="1"/>
    <m/>
    <x v="2"/>
    <m/>
    <s v="C'est trop difficile de suivre avec des enfants., Les informations sur le parcours sont suffisantes."/>
    <x v="2"/>
    <n v="1"/>
    <x v="0"/>
    <x v="0"/>
    <s v="Un office de tourisme"/>
  </r>
  <r>
    <x v="0"/>
    <s v="Très intéressantes"/>
    <s v="Plus de 2 heures 30"/>
    <x v="2"/>
    <s v="Entre 15 et 18 €."/>
    <x v="0"/>
    <s v="Sur l'ensemble du parc"/>
    <m/>
    <x v="2"/>
    <n v="2"/>
    <x v="0"/>
    <x v="0"/>
    <s v="Internet, le bouche à oreille"/>
  </r>
  <r>
    <x v="2"/>
    <s v="Intéressantes"/>
    <s v="Entre 1 heure 30 et 2 heures"/>
    <x v="1"/>
    <m/>
    <x v="2"/>
    <m/>
    <s v="C'est souvent trop long., C'est trop difficile de suivre avec des enfants., Les informations sur le parcours sont suffisantes."/>
    <x v="2"/>
    <n v="1"/>
    <x v="0"/>
    <x v="0"/>
    <s v="le bouche à oreille"/>
  </r>
  <r>
    <x v="0"/>
    <s v="Intéressantes"/>
    <s v="Entre 2 heures  et 2 heures 30"/>
    <x v="2"/>
    <s v="Au maximum 15 €."/>
    <x v="1"/>
    <s v="Sur le monde du rhum"/>
    <m/>
    <x v="2"/>
    <n v="3"/>
    <x v="0"/>
    <x v="0"/>
    <s v="Internet, le bouche à oreille"/>
  </r>
  <r>
    <x v="0"/>
    <s v="Très intéressantes"/>
    <s v="Entre 2 heures  et 2 heures 30"/>
    <x v="2"/>
    <s v="Entre 15 et 18 €."/>
    <x v="0"/>
    <s v="Sur l'ensemble du parc"/>
    <m/>
    <x v="2"/>
    <n v="2"/>
    <x v="0"/>
    <x v="0"/>
    <s v="Un guide de voyage"/>
  </r>
  <r>
    <x v="0"/>
    <s v="Intéressantes"/>
    <s v="Entre 1 heure 30 et 2 heures"/>
    <x v="2"/>
    <s v="Au maximum 15 €."/>
    <x v="0"/>
    <s v="Sur l'ensemble du parc"/>
    <m/>
    <x v="2"/>
    <n v="3"/>
    <x v="0"/>
    <x v="0"/>
    <s v="Internet"/>
  </r>
  <r>
    <x v="2"/>
    <s v="Sans opinion"/>
    <s v="Entre 1 heure et 1 heure 30"/>
    <x v="1"/>
    <m/>
    <x v="2"/>
    <m/>
    <s v="Je ne souhaite pas avoir d'explication."/>
    <x v="2"/>
    <n v="4"/>
    <x v="0"/>
    <x v="0"/>
    <s v="Un guide de voyage"/>
  </r>
  <r>
    <x v="2"/>
    <s v="Sans opinion"/>
    <s v="Entre 1 heure et 1 heure 30"/>
    <x v="1"/>
    <m/>
    <x v="2"/>
    <m/>
    <s v="je préfère visiter à mon rythme., Je ne souhaite pas avoir d'explication."/>
    <x v="2"/>
    <n v="1"/>
    <x v="0"/>
    <x v="3"/>
    <s v="Mon hôtel/ mon loueur"/>
  </r>
  <r>
    <x v="0"/>
    <s v="Très intéressantes"/>
    <s v="Entre 2 heures  et 2 heures 30"/>
    <x v="2"/>
    <s v="Au maximum 15 €."/>
    <x v="1"/>
    <s v="Sur le monde du rhum"/>
    <m/>
    <x v="2"/>
    <n v="2"/>
    <x v="0"/>
    <x v="3"/>
    <s v="le bouche à oreille"/>
  </r>
  <r>
    <x v="0"/>
    <s v="Très intéressantes"/>
    <s v="Entre 1 heure et 1 heure 30"/>
    <x v="1"/>
    <m/>
    <x v="2"/>
    <m/>
    <s v="C'est souvent trop long., je préfère visiter à mon rythme."/>
    <x v="2"/>
    <n v="2"/>
    <x v="0"/>
    <x v="0"/>
    <s v="Un office de tourisme"/>
  </r>
  <r>
    <x v="0"/>
    <s v="Très intéressantes"/>
    <s v="Entre 1 heure 30 et 2 heures"/>
    <x v="1"/>
    <m/>
    <x v="2"/>
    <m/>
    <s v="je préfère visiter à mon rythme., Les informations sur le parcours sont suffisantes."/>
    <x v="2"/>
    <n v="2"/>
    <x v="0"/>
    <x v="0"/>
    <s v="Internet"/>
  </r>
  <r>
    <x v="2"/>
    <s v="Intéressantes"/>
    <s v="Entre 1 heure 30 et 2 heures"/>
    <x v="1"/>
    <m/>
    <x v="2"/>
    <m/>
    <s v="C'est trop difficile de suivre avec des enfants."/>
    <x v="2"/>
    <n v="2"/>
    <x v="0"/>
    <x v="0"/>
    <s v="Un guide de voyage"/>
  </r>
  <r>
    <x v="3"/>
    <s v="Sans opinion"/>
    <s v="Entre 1 heure et 1 heure 30"/>
    <x v="1"/>
    <m/>
    <x v="2"/>
    <m/>
    <s v="Je ne souhaite pas avoir d'explication."/>
    <x v="2"/>
    <n v="2"/>
    <x v="3"/>
    <x v="3"/>
    <s v="le bouche à oreille"/>
  </r>
  <r>
    <x v="0"/>
    <s v="Très intéressantes"/>
    <s v="Entre 2 heures  et 2 heures 30"/>
    <x v="0"/>
    <s v="Au maximum 15 €."/>
    <x v="0"/>
    <s v="Sur l'ensemble du parc"/>
    <m/>
    <x v="2"/>
    <n v="2"/>
    <x v="0"/>
    <x v="0"/>
    <s v="Un office de tourisme"/>
  </r>
  <r>
    <x v="2"/>
    <s v="Très intéressantes"/>
    <s v="Entre 2 heures  et 2 heures 30"/>
    <x v="1"/>
    <m/>
    <x v="2"/>
    <m/>
    <s v="C'est trop difficile de suivre avec des enfants., Les informations sur le parcours sont suffisantes."/>
    <x v="2"/>
    <n v="2"/>
    <x v="0"/>
    <x v="0"/>
    <m/>
  </r>
  <r>
    <x v="0"/>
    <s v="Très intéressantes"/>
    <s v="Entre 2 heures  et 2 heures 30"/>
    <x v="1"/>
    <m/>
    <x v="2"/>
    <m/>
    <s v="Je n'aime pas suivre un groupe., Les informations sur le parcours sont suffisantes."/>
    <x v="2"/>
    <n v="2"/>
    <x v="0"/>
    <x v="0"/>
    <s v="Un guide de voyage"/>
  </r>
  <r>
    <x v="0"/>
    <s v="Très intéressantes"/>
    <s v="Entre 2 heures  et 2 heures 30"/>
    <x v="0"/>
    <s v="Entre 15 et 18 €."/>
    <x v="1"/>
    <s v="Sur le monde du rhum"/>
    <m/>
    <x v="2"/>
    <n v="2"/>
    <x v="0"/>
    <x v="0"/>
    <s v="Un guide de voyage, le bouche à oreille"/>
  </r>
  <r>
    <x v="0"/>
    <s v="Très intéressantes"/>
    <s v="Entre 2 heures  et 2 heures 30"/>
    <x v="1"/>
    <m/>
    <x v="2"/>
    <m/>
    <s v="C'est trop difficile de suivre avec des enfants., Les informations sur le parcours sont suffisantes."/>
    <x v="2"/>
    <n v="2"/>
    <x v="2"/>
    <x v="5"/>
    <s v="le bouche à oreille"/>
  </r>
  <r>
    <x v="0"/>
    <s v="Très intéressantes"/>
    <s v="Entre 2 heures  et 2 heures 30"/>
    <x v="2"/>
    <s v="Au maximum 15 €."/>
    <x v="1"/>
    <s v="Sur le monde du rhum, Sur le monde créole"/>
    <m/>
    <x v="2"/>
    <n v="3"/>
    <x v="0"/>
    <x v="0"/>
    <s v="Un guide de voyage, le bouche à oreille"/>
  </r>
  <r>
    <x v="2"/>
    <s v="Intéressantes"/>
    <s v="Entre 1 heure 30 et 2 heures"/>
    <x v="1"/>
    <m/>
    <x v="2"/>
    <m/>
    <s v="Je ne souhaite pas avoir d'explication."/>
    <x v="2"/>
    <n v="3"/>
    <x v="2"/>
    <x v="5"/>
    <s v="le bouche à oreille"/>
  </r>
  <r>
    <x v="0"/>
    <s v="Intéressantes"/>
    <s v="Entre 1 heure 30 et 2 heures"/>
    <x v="2"/>
    <s v="Au maximum 15 €."/>
    <x v="1"/>
    <s v="Sur le monde du rhum, Sur le monde industriel"/>
    <m/>
    <x v="1"/>
    <m/>
    <x v="0"/>
    <x v="3"/>
    <s v="Mon hôtel/ mon loueur"/>
  </r>
  <r>
    <x v="2"/>
    <s v="Intéressantes"/>
    <s v="Entre 1 heure 30 et 2 heures"/>
    <x v="2"/>
    <s v="Au maximum 15 €."/>
    <x v="0"/>
    <s v="Sur l'ensemble du parc"/>
    <m/>
    <x v="1"/>
    <m/>
    <x v="0"/>
    <x v="0"/>
    <s v="Un guide de voyage"/>
  </r>
  <r>
    <x v="0"/>
    <s v="Très intéressantes"/>
    <s v="Entre 1 heure 30 et 2 heures"/>
    <x v="1"/>
    <m/>
    <x v="2"/>
    <m/>
    <s v="je préfère visiter à mon rythme., Les informations sur le parcours sont suffisantes."/>
    <x v="1"/>
    <m/>
    <x v="2"/>
    <x v="5"/>
    <s v="le bouche à oreille"/>
  </r>
  <r>
    <x v="0"/>
    <s v="Très intéressantes"/>
    <s v="Entre 1 heure 30 et 2 heures"/>
    <x v="1"/>
    <m/>
    <x v="2"/>
    <m/>
    <s v="C'est souvent trop long., Je n'aime pas suivre un groupe., Les informations sur le parcours sont suffisantes."/>
    <x v="1"/>
    <m/>
    <x v="0"/>
    <x v="3"/>
    <s v="le bouche à oreille"/>
  </r>
  <r>
    <x v="0"/>
    <s v="Très intéressantes"/>
    <s v="Entre 2 heures  et 2 heures 30"/>
    <x v="0"/>
    <s v="Entre 15 et 18 €."/>
    <x v="0"/>
    <s v="Sur l'ensemble du parc"/>
    <m/>
    <x v="1"/>
    <m/>
    <x v="0"/>
    <x v="0"/>
    <s v="Un guide de voyage"/>
  </r>
  <r>
    <x v="2"/>
    <s v="Intéressantes"/>
    <s v="Entre 1 heure 30 et 2 heures"/>
    <x v="1"/>
    <m/>
    <x v="2"/>
    <m/>
    <s v="Je n'aime pas suivre un groupe."/>
    <x v="1"/>
    <m/>
    <x v="3"/>
    <x v="3"/>
    <s v="le bouche à oreille"/>
  </r>
  <r>
    <x v="0"/>
    <s v="Sans opinion"/>
    <s v="Entre 1 heure 30 et 2 heures"/>
    <x v="1"/>
    <m/>
    <x v="2"/>
    <m/>
    <s v="Je ne souhaite pas avoir d'explication., Je n'aime pas suivre un groupe."/>
    <x v="0"/>
    <m/>
    <x v="5"/>
    <x v="3"/>
    <s v="Mon hôtel/ mon loueur"/>
  </r>
  <r>
    <x v="0"/>
    <s v="Très intéressantes"/>
    <s v="Entre 2 heures  et 2 heures 30"/>
    <x v="2"/>
    <s v="Au maximum 15 €."/>
    <x v="0"/>
    <s v="Sur le monde du rhum, Sur le monde industriel"/>
    <m/>
    <x v="3"/>
    <m/>
    <x v="0"/>
    <x v="0"/>
    <s v="le bouche à oreille"/>
  </r>
  <r>
    <x v="0"/>
    <s v="Peu intéressantes"/>
    <s v="Entre 1 heure 30 et 2 heures"/>
    <x v="0"/>
    <s v="Entre 15 et 18 €."/>
    <x v="0"/>
    <s v="Sur l'ensemble du parc"/>
    <m/>
    <x v="1"/>
    <m/>
    <x v="0"/>
    <x v="2"/>
    <s v="Un office de tourisme"/>
  </r>
  <r>
    <x v="0"/>
    <s v="Très intéressantes"/>
    <s v="Entre 1 heure 30 et 2 heures"/>
    <x v="2"/>
    <s v="Au maximum 15 €."/>
    <x v="1"/>
    <s v="Sur le monde du rhum, Sur le monde industriel"/>
    <m/>
    <x v="1"/>
    <m/>
    <x v="0"/>
    <x v="1"/>
    <s v="Internet"/>
  </r>
  <r>
    <x v="0"/>
    <s v="Intéressantes"/>
    <s v="Entre 2 heures  et 2 heures 30"/>
    <x v="1"/>
    <m/>
    <x v="2"/>
    <m/>
    <s v="Les informations sur le parcours sont suffisantes."/>
    <x v="1"/>
    <m/>
    <x v="0"/>
    <x v="0"/>
    <s v="Un guide de voyage"/>
  </r>
  <r>
    <x v="2"/>
    <s v="Sans opinion"/>
    <s v="Entre 1 heure 30 et 2 heures"/>
    <x v="1"/>
    <m/>
    <x v="2"/>
    <m/>
    <s v="je préfère visiter à mon rythme., Je n'aime pas suivre un groupe."/>
    <x v="1"/>
    <m/>
    <x v="0"/>
    <x v="0"/>
    <s v="le bouche à oreille"/>
  </r>
  <r>
    <x v="0"/>
    <s v="Intéressantes"/>
    <s v="Entre 1 heure 30 et 2 heures"/>
    <x v="2"/>
    <s v="Au maximum 15 €."/>
    <x v="0"/>
    <s v="Sur le monde du rhum, Sur le monde industriel, Sur le monde créole"/>
    <m/>
    <x v="1"/>
    <m/>
    <x v="0"/>
    <x v="0"/>
    <s v="le bouche à oreille"/>
  </r>
  <r>
    <x v="0"/>
    <s v="Très intéressantes"/>
    <s v="Entre 1 heure 30 et 2 heures"/>
    <x v="1"/>
    <m/>
    <x v="2"/>
    <m/>
    <s v="C'est souvent trop long."/>
    <x v="1"/>
    <m/>
    <x v="5"/>
    <x v="3"/>
    <s v="Mon hôtel/ mon loueur"/>
  </r>
  <r>
    <x v="2"/>
    <s v="Intéressantes"/>
    <s v="Entre 1 heure 30 et 2 heures"/>
    <x v="2"/>
    <s v="Le prix actuel du billet d'entrée, soit 13 €."/>
    <x v="1"/>
    <s v="Sur le monde du rhum"/>
    <m/>
    <x v="1"/>
    <m/>
    <x v="3"/>
    <x v="3"/>
    <s v="le bouche à oreille"/>
  </r>
  <r>
    <x v="0"/>
    <s v="Intéressantes"/>
    <s v="Entre 1 heure 30 et 2 heures"/>
    <x v="2"/>
    <s v="Au maximum 15 €."/>
    <x v="1"/>
    <s v="Sur le monde du rhum, Sur le monde industriel"/>
    <m/>
    <x v="1"/>
    <m/>
    <x v="2"/>
    <x v="5"/>
    <s v="le bouche à oreille"/>
  </r>
  <r>
    <x v="0"/>
    <s v="Très intéressantes"/>
    <s v="Plus de 2 heures 30"/>
    <x v="2"/>
    <s v="Entre 15 et 18 €."/>
    <x v="0"/>
    <s v="Sur l'ensemble du parc"/>
    <m/>
    <x v="1"/>
    <m/>
    <x v="0"/>
    <x v="0"/>
    <s v="Un office de tourisme"/>
  </r>
  <r>
    <x v="0"/>
    <s v="Très intéressantes"/>
    <s v="Entre 1 heure 30 et 2 heures"/>
    <x v="2"/>
    <s v="Le prix actuel du billet d'entrée, soit 13 €."/>
    <x v="1"/>
    <s v="Sur le monde du rhum"/>
    <m/>
    <x v="1"/>
    <m/>
    <x v="0"/>
    <x v="0"/>
    <s v="le bouche à oreille"/>
  </r>
  <r>
    <x v="0"/>
    <s v="Très intéressantes"/>
    <s v="Entre 1 heure 30 et 2 heures"/>
    <x v="2"/>
    <s v="Au maximum 15 €."/>
    <x v="1"/>
    <s v="Sur le monde botanique, Sur le monde du rhum"/>
    <m/>
    <x v="1"/>
    <m/>
    <x v="0"/>
    <x v="2"/>
    <s v="Un guide de voyage"/>
  </r>
  <r>
    <x v="0"/>
    <s v="Sans opinion"/>
    <s v="Entre 1 heure 30 et 2 heures"/>
    <x v="1"/>
    <m/>
    <x v="2"/>
    <m/>
    <s v="Je ne souhaite pas avoir d'explication., Je n'aime pas suivre un groupe."/>
    <x v="1"/>
    <m/>
    <x v="0"/>
    <x v="0"/>
    <s v="Internet"/>
  </r>
  <r>
    <x v="2"/>
    <s v="Peu intéressantes"/>
    <s v="Entre 1 heure et 1 heure 30"/>
    <x v="2"/>
    <s v="Au maximum 15 €."/>
    <x v="1"/>
    <s v="Sur le monde du rhum, Sur le monde industriel"/>
    <m/>
    <x v="1"/>
    <m/>
    <x v="0"/>
    <x v="3"/>
    <s v="le bouche à oreille"/>
  </r>
  <r>
    <x v="0"/>
    <s v="Très intéressantes"/>
    <s v="Entre 1 heure 30 et 2 heures"/>
    <x v="0"/>
    <s v="Entre 15 et 18 €."/>
    <x v="0"/>
    <s v="Sur l'ensemble du parc"/>
    <m/>
    <x v="1"/>
    <m/>
    <x v="0"/>
    <x v="0"/>
    <s v="Internet"/>
  </r>
  <r>
    <x v="2"/>
    <s v="Intéressantes"/>
    <s v="Entre 1 heure et 1 heure 30"/>
    <x v="2"/>
    <s v="Le prix actuel du billet d'entrée, soit 13 €."/>
    <x v="1"/>
    <s v="Sur le monde du rhum"/>
    <m/>
    <x v="1"/>
    <m/>
    <x v="0"/>
    <x v="0"/>
    <s v="Un office de tourisme, Internet"/>
  </r>
  <r>
    <x v="3"/>
    <s v="Sans opinion"/>
    <s v="Moins d' 1 heure"/>
    <x v="1"/>
    <m/>
    <x v="2"/>
    <m/>
    <s v="Je n'aime pas suivre un groupe."/>
    <x v="1"/>
    <m/>
    <x v="3"/>
    <x v="3"/>
    <s v="Un office de tourisme"/>
  </r>
  <r>
    <x v="2"/>
    <s v="Sans opinion"/>
    <s v="Entre 1 heure 30 et 2 heures"/>
    <x v="1"/>
    <m/>
    <x v="2"/>
    <m/>
    <s v="nous avions déjà un guide"/>
    <x v="4"/>
    <m/>
    <x v="3"/>
    <x v="3"/>
    <s v="le bouche à oreille"/>
  </r>
  <r>
    <x v="2"/>
    <s v="Sans opinion"/>
    <s v="Entre 1 heure 30 et 2 heures"/>
    <x v="1"/>
    <m/>
    <x v="2"/>
    <m/>
    <s v="nous avions déjà un guide"/>
    <x v="4"/>
    <m/>
    <x v="0"/>
    <x v="3"/>
    <s v="Mon hôtel/ mon loueur"/>
  </r>
  <r>
    <x v="2"/>
    <s v="Intéressantes"/>
    <s v="Entre 2 heures  et 2 heures 30"/>
    <x v="1"/>
    <m/>
    <x v="2"/>
    <m/>
    <s v="je préfère visiter à mon rythme., Les informations sur le parcours sont suffisantes."/>
    <x v="1"/>
    <m/>
    <x v="0"/>
    <x v="0"/>
    <s v="Internet"/>
  </r>
  <r>
    <x v="0"/>
    <s v="Très intéressantes"/>
    <s v="Plus de 2 heures 30"/>
    <x v="0"/>
    <s v="Entre 15 et 18 €."/>
    <x v="0"/>
    <s v="Sur l'ensemble du parc"/>
    <m/>
    <x v="0"/>
    <m/>
    <x v="0"/>
    <x v="0"/>
    <s v="Un guide de voyage"/>
  </r>
  <r>
    <x v="2"/>
    <s v="Intéressantes"/>
    <s v="Entre 1 heure 30 et 2 heures"/>
    <x v="1"/>
    <m/>
    <x v="2"/>
    <m/>
    <s v="je préfère visiter à mon rythme."/>
    <x v="0"/>
    <m/>
    <x v="0"/>
    <x v="1"/>
    <s v="Un office de tourisme, Internet"/>
  </r>
  <r>
    <x v="0"/>
    <s v="Très intéressantes"/>
    <s v="Entre 1 heure 30 et 2 heures"/>
    <x v="2"/>
    <s v="Au maximum 15 €."/>
    <x v="0"/>
    <s v="Sur le monde du rhum, Sur le monde industriel, Sur le monde créole"/>
    <m/>
    <x v="1"/>
    <m/>
    <x v="0"/>
    <x v="2"/>
    <s v="Un office de tourisme"/>
  </r>
  <r>
    <x v="0"/>
    <s v="Très intéressantes"/>
    <s v="Entre 2 heures  et 2 heures 30"/>
    <x v="2"/>
    <s v="Au maximum 15 €."/>
    <x v="0"/>
    <s v="Sur l'ensemble du parc"/>
    <m/>
    <x v="1"/>
    <m/>
    <x v="0"/>
    <x v="0"/>
    <s v="Internet, le bouche à oreille"/>
  </r>
  <r>
    <x v="2"/>
    <s v="Sans opinion"/>
    <s v="Entre 1 heure 30 et 2 heures"/>
    <x v="1"/>
    <m/>
    <x v="2"/>
    <m/>
    <s v="je préfère visiter à mon rythme., Je ne souhaite pas avoir d'explication."/>
    <x v="0"/>
    <m/>
    <x v="2"/>
    <x v="5"/>
    <s v="Un office de tourisme, le bouche à oreille"/>
  </r>
  <r>
    <x v="2"/>
    <s v="Intéressantes"/>
    <s v="Entre 1 heure 30 et 2 heures"/>
    <x v="2"/>
    <s v="Entre 15 et 18 €."/>
    <x v="0"/>
    <s v="Sur l'ensemble du parc"/>
    <m/>
    <x v="1"/>
    <m/>
    <x v="0"/>
    <x v="0"/>
    <s v="Un guide de voyage"/>
  </r>
  <r>
    <x v="0"/>
    <s v="Très intéressantes"/>
    <s v="Entre 2 heures  et 2 heures 30"/>
    <x v="1"/>
    <m/>
    <x v="2"/>
    <m/>
    <s v="Je n'aime pas suivre un groupe., Les informations sur le parcours sont suffisantes."/>
    <x v="0"/>
    <m/>
    <x v="0"/>
    <x v="2"/>
    <s v="Internet"/>
  </r>
  <r>
    <x v="0"/>
    <s v="Très intéressantes"/>
    <s v="Entre 1 heure 30 et 2 heures"/>
    <x v="2"/>
    <s v="Au maximum 15 €."/>
    <x v="1"/>
    <s v="Sur le monde du rhum"/>
    <m/>
    <x v="0"/>
    <m/>
    <x v="0"/>
    <x v="0"/>
    <s v="Un guide de voyage"/>
  </r>
  <r>
    <x v="2"/>
    <s v="Intéressantes"/>
    <s v="Entre 1 heure 30 et 2 heures"/>
    <x v="1"/>
    <m/>
    <x v="2"/>
    <m/>
    <s v="C'est souvent trop long., je préfère visiter à mon rythme., Les informations sur le parcours sont suffisantes."/>
    <x v="1"/>
    <m/>
    <x v="5"/>
    <x v="3"/>
    <s v="Internet"/>
  </r>
  <r>
    <x v="3"/>
    <s v="Sans opinion"/>
    <s v="Moins d' 1 heure"/>
    <x v="1"/>
    <m/>
    <x v="2"/>
    <m/>
    <s v="Je ne souhaite pas avoir d'explication."/>
    <x v="0"/>
    <m/>
    <x v="4"/>
    <x v="3"/>
    <s v="Internet"/>
  </r>
  <r>
    <x v="0"/>
    <s v="Très intéressantes"/>
    <s v="Entre 2 heures  et 2 heures 30"/>
    <x v="1"/>
    <m/>
    <x v="2"/>
    <m/>
    <s v="je préfère visiter à mon rythme."/>
    <x v="1"/>
    <m/>
    <x v="0"/>
    <x v="0"/>
    <s v="Internet"/>
  </r>
  <r>
    <x v="0"/>
    <s v="Très intéressantes"/>
    <s v="Entre 2 heures  et 2 heures 30"/>
    <x v="2"/>
    <s v="Au maximum 15 €."/>
    <x v="1"/>
    <s v="Sur le monde du rhum, Sur le monde créole"/>
    <m/>
    <x v="0"/>
    <m/>
    <x v="0"/>
    <x v="0"/>
    <s v="Un office de tourisme"/>
  </r>
  <r>
    <x v="0"/>
    <s v="Très intéressantes"/>
    <s v="Entre 1 heure 30 et 2 heures"/>
    <x v="0"/>
    <s v="Entre 15 et 18 €."/>
    <x v="0"/>
    <s v="Sur l'ensemble du parc"/>
    <m/>
    <x v="1"/>
    <m/>
    <x v="0"/>
    <x v="0"/>
    <s v="Un office de tourisme"/>
  </r>
  <r>
    <x v="0"/>
    <s v="Intéressantes"/>
    <s v="Entre 1 heure 30 et 2 heures"/>
    <x v="0"/>
    <s v="Au maximum 15 €."/>
    <x v="1"/>
    <s v="Sur le monde du rhum, Sur le monde industriel"/>
    <m/>
    <x v="1"/>
    <m/>
    <x v="0"/>
    <x v="1"/>
    <s v="Un guide de voyage, le bouche à oreille"/>
  </r>
  <r>
    <x v="0"/>
    <s v="Très intéressantes"/>
    <s v="Entre 1 heure 30 et 2 heures"/>
    <x v="2"/>
    <s v="Au maximum 15 €."/>
    <x v="1"/>
    <s v="Sur le monde du rhum"/>
    <m/>
    <x v="1"/>
    <m/>
    <x v="0"/>
    <x v="0"/>
    <s v="Un guide de voyage"/>
  </r>
  <r>
    <x v="2"/>
    <s v="Sans opinion"/>
    <s v="Entre 1 heure 30 et 2 heures"/>
    <x v="1"/>
    <m/>
    <x v="2"/>
    <m/>
    <s v="C'est souvent trop long., Je n'aime pas suivre un groupe."/>
    <x v="1"/>
    <m/>
    <x v="0"/>
    <x v="3"/>
    <s v="Internet"/>
  </r>
  <r>
    <x v="2"/>
    <s v="Intéressantes"/>
    <s v="Entre 1 heure 30 et 2 heures"/>
    <x v="2"/>
    <s v="Au maximum 15 €."/>
    <x v="1"/>
    <s v="Sur le monde du rhum, Sur le monde créole"/>
    <m/>
    <x v="1"/>
    <m/>
    <x v="0"/>
    <x v="0"/>
    <s v="Internet"/>
  </r>
  <r>
    <x v="2"/>
    <s v="Intéressantes"/>
    <s v="Entre 1 heure 30 et 2 heures"/>
    <x v="1"/>
    <m/>
    <x v="2"/>
    <m/>
    <s v="Je connais bien le domaine"/>
    <x v="1"/>
    <m/>
    <x v="2"/>
    <x v="4"/>
    <m/>
  </r>
  <r>
    <x v="0"/>
    <s v="Très intéressantes"/>
    <s v="Plus de 2 heures 30"/>
    <x v="2"/>
    <s v="Au maximum 15 €."/>
    <x v="0"/>
    <s v="Sur l'ensemble du parc"/>
    <m/>
    <x v="1"/>
    <m/>
    <x v="0"/>
    <x v="0"/>
    <s v="Internet, le bouche à oreille"/>
  </r>
  <r>
    <x v="2"/>
    <s v="Intéressantes"/>
    <s v="Entre 1 heure 30 et 2 heures"/>
    <x v="2"/>
    <s v="Le prix actuel du billet d'entrée, soit 13 €."/>
    <x v="1"/>
    <s v="Sur le monde du rhum"/>
    <m/>
    <x v="1"/>
    <m/>
    <x v="6"/>
    <x v="3"/>
    <s v="Un guide de voyage"/>
  </r>
  <r>
    <x v="2"/>
    <s v="Sans opinion"/>
    <s v="Entre 1 heure et 1 heure 30"/>
    <x v="1"/>
    <m/>
    <x v="2"/>
    <m/>
    <s v="Je ne souhaite pas avoir d'explication., Je n'aime pas suivre un groupe."/>
    <x v="1"/>
    <m/>
    <x v="2"/>
    <x v="5"/>
    <s v="le bouche à oreille"/>
  </r>
  <r>
    <x v="1"/>
    <s v="Sans opinion"/>
    <s v="Entre 1 heure et 1 heure 30"/>
    <x v="1"/>
    <m/>
    <x v="2"/>
    <m/>
    <s v="C'est souvent trop long., Je n'aime pas suivre un groupe."/>
    <x v="1"/>
    <m/>
    <x v="3"/>
    <x v="3"/>
    <s v="le bouche à oreille"/>
  </r>
  <r>
    <x v="2"/>
    <s v="Intéressantes"/>
    <s v="Entre 2 heures  et 2 heures 30"/>
    <x v="2"/>
    <s v="Au maximum 15 €."/>
    <x v="1"/>
    <s v="Sur le monde du rhum"/>
    <m/>
    <x v="0"/>
    <m/>
    <x v="0"/>
    <x v="0"/>
    <s v="Internet, le bouche à oreille"/>
  </r>
  <r>
    <x v="0"/>
    <s v="Sans opinion"/>
    <s v="Entre 1 heure 30 et 2 heures"/>
    <x v="1"/>
    <m/>
    <x v="2"/>
    <m/>
    <s v="Je ne souhaite pas avoir d'explication."/>
    <x v="1"/>
    <m/>
    <x v="0"/>
    <x v="0"/>
    <s v="Internet"/>
  </r>
  <r>
    <x v="2"/>
    <s v="Intéressantes"/>
    <s v="Entre 1 heure 30 et 2 heures"/>
    <x v="0"/>
    <s v="Au maximum 15 €."/>
    <x v="0"/>
    <s v="Sur l'ensemble du parc"/>
    <m/>
    <x v="1"/>
    <m/>
    <x v="0"/>
    <x v="2"/>
    <s v="Un office de tourisme"/>
  </r>
  <r>
    <x v="2"/>
    <s v="Intéressantes"/>
    <s v="Entre 1 heure 30 et 2 heures"/>
    <x v="2"/>
    <s v="Au maximum 15 €."/>
    <x v="1"/>
    <s v="Sur le monde du rhum, Sur le monde industriel"/>
    <m/>
    <x v="0"/>
    <m/>
    <x v="0"/>
    <x v="0"/>
    <s v="Un office de tourisme"/>
  </r>
  <r>
    <x v="0"/>
    <s v="Intéressantes"/>
    <s v="Entre 1 heure 30 et 2 heures"/>
    <x v="0"/>
    <s v="Entre 15 et 18 €."/>
    <x v="0"/>
    <s v="Sur l'ensemble du parc, Sur le monde du rhum"/>
    <m/>
    <x v="1"/>
    <m/>
    <x v="0"/>
    <x v="0"/>
    <s v="Internet"/>
  </r>
  <r>
    <x v="0"/>
    <s v="Très intéressantes"/>
    <s v="Entre 2 heures  et 2 heures 30"/>
    <x v="2"/>
    <s v="Au maximum 15 €."/>
    <x v="1"/>
    <s v="Sur le monde du rhum, Sur le monde industriel"/>
    <m/>
    <x v="1"/>
    <m/>
    <x v="0"/>
    <x v="1"/>
    <s v="Un office de tourisme"/>
  </r>
  <r>
    <x v="0"/>
    <s v="Très intéressantes"/>
    <s v="Entre 1 heure 30 et 2 heures"/>
    <x v="2"/>
    <s v="Au maximum 15 €."/>
    <x v="1"/>
    <s v="Sur le monde du rhum"/>
    <m/>
    <x v="1"/>
    <m/>
    <x v="0"/>
    <x v="3"/>
    <s v="Internet"/>
  </r>
  <r>
    <x v="0"/>
    <s v="Intéressantes"/>
    <s v="Entre 2 heures  et 2 heures 30"/>
    <x v="2"/>
    <s v="Au maximum 15 €."/>
    <x v="1"/>
    <s v="Sur le monde botanique, Sur le monde du rhum"/>
    <m/>
    <x v="1"/>
    <m/>
    <x v="0"/>
    <x v="1"/>
    <s v="Internet"/>
  </r>
  <r>
    <x v="2"/>
    <s v="Sans opinion"/>
    <s v="Entre 1 heure et 1 heure 30"/>
    <x v="1"/>
    <m/>
    <x v="2"/>
    <m/>
    <s v="Je n'aime pas suivre un groupe."/>
    <x v="0"/>
    <m/>
    <x v="3"/>
    <x v="3"/>
    <s v="Internet"/>
  </r>
  <r>
    <x v="0"/>
    <s v="Très intéressantes"/>
    <s v="Entre 2 heures  et 2 heures 30"/>
    <x v="1"/>
    <m/>
    <x v="2"/>
    <m/>
    <s v="nous avions déjà un guide"/>
    <x v="4"/>
    <m/>
    <x v="3"/>
    <x v="3"/>
    <m/>
  </r>
  <r>
    <x v="0"/>
    <s v="Intéressantes"/>
    <s v="Plus de 2 heures 30"/>
    <x v="0"/>
    <s v="Entre 15 et 18 €."/>
    <x v="3"/>
    <s v="Sur l'ensemble du parc"/>
    <s v="nous avions déjà un guide"/>
    <x v="1"/>
    <m/>
    <x v="0"/>
    <x v="2"/>
    <s v="Un office de tourisme"/>
  </r>
  <r>
    <x v="2"/>
    <s v="Intéressantes"/>
    <s v="Entre 1 heure 30 et 2 heures"/>
    <x v="2"/>
    <s v="Au maximum 15 €."/>
    <x v="1"/>
    <s v="Sur le monde du rhum, Sur le monde industriel"/>
    <m/>
    <x v="1"/>
    <m/>
    <x v="0"/>
    <x v="0"/>
    <s v="Un office de tourisme"/>
  </r>
  <r>
    <x v="2"/>
    <s v="Sans opinion"/>
    <s v="Entre 1 heure et 1 heure 30"/>
    <x v="1"/>
    <m/>
    <x v="2"/>
    <m/>
    <s v="C'est souvent trop long., je préfère visiter à mon rythme."/>
    <x v="0"/>
    <m/>
    <x v="2"/>
    <x v="5"/>
    <s v="le bouche à oreille"/>
  </r>
  <r>
    <x v="0"/>
    <s v="Intéressantes"/>
    <s v="Entre 2 heures  et 2 heures 30"/>
    <x v="1"/>
    <m/>
    <x v="2"/>
    <m/>
    <s v="je préfère visiter à mon rythme., Les informations sur le parcours sont suffisantes."/>
    <x v="1"/>
    <m/>
    <x v="0"/>
    <x v="0"/>
    <s v="Un guide de voyage"/>
  </r>
  <r>
    <x v="2"/>
    <s v="Sans opinion"/>
    <s v="Entre 1 heure 30 et 2 heures"/>
    <x v="2"/>
    <s v="Au maximum 15 €."/>
    <x v="1"/>
    <s v="Sur le monde du rhum"/>
    <m/>
    <x v="1"/>
    <m/>
    <x v="0"/>
    <x v="0"/>
    <s v="Internet, le bouche à oreille"/>
  </r>
  <r>
    <x v="0"/>
    <s v="Très intéressantes"/>
    <s v="Entre 2 heures  et 2 heures 30"/>
    <x v="2"/>
    <s v="Au maximum 15 €."/>
    <x v="3"/>
    <s v="Sur l'ensemble du parc"/>
    <m/>
    <x v="1"/>
    <m/>
    <x v="0"/>
    <x v="0"/>
    <s v="Internet"/>
  </r>
  <r>
    <x v="2"/>
    <s v="Intéressantes"/>
    <s v="Entre 1 heure 30 et 2 heures"/>
    <x v="2"/>
    <s v="Au maximum 15 €."/>
    <x v="1"/>
    <s v="Sur le monde du rhum, Sur le monde industriel"/>
    <m/>
    <x v="1"/>
    <m/>
    <x v="0"/>
    <x v="1"/>
    <s v="le bouche à oreille"/>
  </r>
  <r>
    <x v="0"/>
    <s v="Très intéressantes"/>
    <s v="Entre 2 heures  et 2 heures 30"/>
    <x v="0"/>
    <s v="Entre 15 et 18 €."/>
    <x v="1"/>
    <s v="Sur le monde du rhum"/>
    <m/>
    <x v="1"/>
    <m/>
    <x v="0"/>
    <x v="0"/>
    <s v="Un office de tourisme, le bouche à oreille"/>
  </r>
  <r>
    <x v="2"/>
    <s v="Peu intéressantes"/>
    <s v="Entre 1 heure 30 et 2 heures"/>
    <x v="1"/>
    <m/>
    <x v="2"/>
    <m/>
    <s v="Je n'aime pas suivre un groupe."/>
    <x v="1"/>
    <m/>
    <x v="0"/>
    <x v="0"/>
    <s v="Internet"/>
  </r>
  <r>
    <x v="2"/>
    <s v="Sans opinion"/>
    <s v="Entre 1 heure 30 et 2 heures"/>
    <x v="2"/>
    <s v="Au maximum 15 €."/>
    <x v="1"/>
    <s v="Sur le monde du rhum, Sur le monde créole"/>
    <m/>
    <x v="1"/>
    <m/>
    <x v="0"/>
    <x v="0"/>
    <s v="Un office de tourisme"/>
  </r>
  <r>
    <x v="0"/>
    <s v="Très intéressantes"/>
    <s v="Entre 2 heures  et 2 heures 30"/>
    <x v="1"/>
    <m/>
    <x v="2"/>
    <m/>
    <s v="je préfère visiter à mon rythme., Je n'aime pas suivre un groupe., Les informations sur le parcours sont suffisantes."/>
    <x v="1"/>
    <m/>
    <x v="0"/>
    <x v="1"/>
    <s v="Internet, le bouche à oreille"/>
  </r>
  <r>
    <x v="0"/>
    <s v="Très intéressantes"/>
    <s v="Entre 2 heures  et 2 heures 30"/>
    <x v="0"/>
    <s v="Entre 15 et 18 €."/>
    <x v="3"/>
    <s v="Sur l'ensemble du parc"/>
    <m/>
    <x v="1"/>
    <m/>
    <x v="0"/>
    <x v="0"/>
    <s v="Un guide de voyage"/>
  </r>
  <r>
    <x v="0"/>
    <s v="Intéressantes"/>
    <s v="Entre 1 heure 30 et 2 heures"/>
    <x v="1"/>
    <m/>
    <x v="2"/>
    <m/>
    <s v="Je n'aime pas suivre un groupe."/>
    <x v="0"/>
    <m/>
    <x v="5"/>
    <x v="3"/>
    <s v="Un guide de voyage"/>
  </r>
  <r>
    <x v="2"/>
    <s v="Intéressantes"/>
    <s v="Entre 1 heure 30 et 2 heures"/>
    <x v="2"/>
    <s v="Au maximum 15 €."/>
    <x v="1"/>
    <s v="Sur le monde du rhum"/>
    <m/>
    <x v="1"/>
    <m/>
    <x v="0"/>
    <x v="0"/>
    <s v="Un office de tourisme"/>
  </r>
  <r>
    <x v="2"/>
    <s v="Sans opinion"/>
    <s v="Entre 1 heure et 1 heure 30"/>
    <x v="1"/>
    <m/>
    <x v="2"/>
    <m/>
    <s v="Je n'aime pas suivre un groupe."/>
    <x v="1"/>
    <m/>
    <x v="0"/>
    <x v="0"/>
    <s v="Un office de tourisme"/>
  </r>
  <r>
    <x v="2"/>
    <s v="Intéressantes"/>
    <s v="Entre 1 heure 30 et 2 heures"/>
    <x v="0"/>
    <s v="Entre 15 et 18 €."/>
    <x v="0"/>
    <s v="Sur l'ensemble du parc, Sur le monde du rhum"/>
    <m/>
    <x v="1"/>
    <m/>
    <x v="0"/>
    <x v="0"/>
    <s v="le bouche à oreille"/>
  </r>
  <r>
    <x v="0"/>
    <s v="Sans opinion"/>
    <s v="Entre 1 heure 30 et 2 heures"/>
    <x v="1"/>
    <m/>
    <x v="2"/>
    <m/>
    <s v="je préfère visiter à mon rythme."/>
    <x v="0"/>
    <m/>
    <x v="3"/>
    <x v="3"/>
    <s v="Internet"/>
  </r>
  <r>
    <x v="2"/>
    <s v="Intéressantes"/>
    <s v="Entre 1 heure 30 et 2 heures"/>
    <x v="2"/>
    <s v="Au maximum 15 €."/>
    <x v="1"/>
    <s v="Sur le monde du rhum"/>
    <m/>
    <x v="0"/>
    <m/>
    <x v="0"/>
    <x v="0"/>
    <s v="Un guide de voy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2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2" colHeaderCaption="Statut">
  <location ref="A3:F8" firstHeaderRow="1" firstDataRow="2" firstDataCol="1"/>
  <pivotFields count="13"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axis="axisRow" dataField="1" showAll="0">
      <items count="4">
        <item n="Non, sûrement pas " x="1"/>
        <item n="Oui, à condition " x="2"/>
        <item n="Oui, sûrement " x="0"/>
        <item t="default"/>
      </items>
    </pivotField>
    <pivotField showAll="0"/>
    <pivotField showAll="0"/>
    <pivotField showAll="0"/>
    <pivotField showAll="0"/>
    <pivotField axis="axisCol" showAll="0">
      <items count="6">
        <item x="4"/>
        <item x="1"/>
        <item x="2"/>
        <item x="0"/>
        <item h="1"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i une visite guidée avait été proposée, auriez-vous été intéressé ? " fld="3" subtotal="count" showDataAs="percentOfCol" baseField="0" baseItem="0" numFmtId="9"/>
  </dataFields>
  <formats count="13">
    <format dxfId="84">
      <pivotArea type="origin" dataOnly="0" labelOnly="1" outline="0" fieldPosition="0"/>
    </format>
    <format dxfId="83">
      <pivotArea field="8" type="button" dataOnly="0" labelOnly="1" outline="0" axis="axisCol" fieldPosition="0"/>
    </format>
    <format dxfId="82">
      <pivotArea type="topRight" dataOnly="0" labelOnly="1" outline="0" fieldPosition="0"/>
    </format>
    <format dxfId="81">
      <pivotArea dataOnly="0" labelOnly="1" fieldPosition="0">
        <references count="1">
          <reference field="8" count="0"/>
        </references>
      </pivotArea>
    </format>
    <format dxfId="80">
      <pivotArea dataOnly="0" labelOnly="1" grandCol="1" outline="0" fieldPosition="0"/>
    </format>
    <format dxfId="79">
      <pivotArea field="8" type="button" dataOnly="0" labelOnly="1" outline="0" axis="axisCol" fieldPosition="0"/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8" count="0"/>
        </references>
      </pivotArea>
    </format>
    <format dxfId="76">
      <pivotArea dataOnly="0" labelOnly="1" grandCol="1" outline="0" fieldPosition="0"/>
    </format>
    <format dxfId="75">
      <pivotArea field="8" type="button" dataOnly="0" labelOnly="1" outline="0" axis="axisCol" fieldPosition="0"/>
    </format>
    <format dxfId="74">
      <pivotArea type="topRight" dataOnly="0" labelOnly="1" outline="0" fieldPosition="0"/>
    </format>
    <format dxfId="73">
      <pivotArea dataOnly="0" labelOnly="1" fieldPosition="0">
        <references count="1">
          <reference field="8" count="0"/>
        </references>
      </pivotArea>
    </format>
    <format dxfId="72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eau croisé dynamique4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1" colHeaderCaption="Pays">
  <location ref="A3:E8" firstHeaderRow="1" firstDataRow="2" firstDataCol="1"/>
  <pivotFields count="13">
    <pivotField showAll="0"/>
    <pivotField showAll="0"/>
    <pivotField showAll="0"/>
    <pivotField axis="axisRow" dataField="1" showAll="0">
      <items count="4">
        <item n="Non, sûrement pas" x="1"/>
        <item n="Oui, à condition" x="2"/>
        <item n="Oui, sûrement"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8">
        <item h="1" x="5"/>
        <item h="1" x="4"/>
        <item x="0"/>
        <item h="1" x="1"/>
        <item x="3"/>
        <item h="1" x="6"/>
        <item x="2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 v="2"/>
    </i>
    <i>
      <x v="4"/>
    </i>
    <i>
      <x v="6"/>
    </i>
    <i t="grand">
      <x/>
    </i>
  </colItems>
  <dataFields count="1">
    <dataField name="Si une visite guidée avait été proposée, auriez-vous été intéressé ? " fld="3" subtotal="count" showDataAs="percentOfCol" baseField="0" baseItem="0" numFmtId="9"/>
  </dataFields>
  <formats count="19">
    <format dxfId="71">
      <pivotArea type="origin" dataOnly="0" labelOnly="1" outline="0" fieldPosition="0"/>
    </format>
    <format dxfId="70">
      <pivotArea field="3" type="button" dataOnly="0" labelOnly="1" outline="0" axis="axisRow" fieldPosition="0"/>
    </format>
    <format dxfId="69">
      <pivotArea field="10" type="button" dataOnly="0" labelOnly="1" outline="0" axis="axisCol" fieldPosition="0"/>
    </format>
    <format dxfId="68">
      <pivotArea type="topRight" dataOnly="0" labelOnly="1" outline="0" fieldPosition="0"/>
    </format>
    <format dxfId="67">
      <pivotArea dataOnly="0" labelOnly="1" fieldPosition="0">
        <references count="1">
          <reference field="10" count="0"/>
        </references>
      </pivotArea>
    </format>
    <format dxfId="66">
      <pivotArea dataOnly="0" labelOnly="1" grandCol="1" outline="0" fieldPosition="0"/>
    </format>
    <format dxfId="65">
      <pivotArea type="origin" dataOnly="0" labelOnly="1" outline="0" fieldPosition="0"/>
    </format>
    <format dxfId="64">
      <pivotArea field="3" type="button" dataOnly="0" labelOnly="1" outline="0" axis="axisRow" fieldPosition="0"/>
    </format>
    <format dxfId="63">
      <pivotArea field="10" type="button" dataOnly="0" labelOnly="1" outline="0" axis="axisCol" fieldPosition="0"/>
    </format>
    <format dxfId="62">
      <pivotArea type="topRight" dataOnly="0" labelOnly="1" outline="0" fieldPosition="0"/>
    </format>
    <format dxfId="61">
      <pivotArea dataOnly="0" labelOnly="1" fieldPosition="0">
        <references count="1">
          <reference field="10" count="0"/>
        </references>
      </pivotArea>
    </format>
    <format dxfId="60">
      <pivotArea dataOnly="0" labelOnly="1" grandCol="1" outline="0" fieldPosition="0"/>
    </format>
    <format dxfId="59">
      <pivotArea type="origin" dataOnly="0" labelOnly="1" outline="0" fieldPosition="0"/>
    </format>
    <format dxfId="58">
      <pivotArea field="3" type="button" dataOnly="0" labelOnly="1" outline="0" axis="axisRow" fieldPosition="0"/>
    </format>
    <format dxfId="57">
      <pivotArea field="10" type="button" dataOnly="0" labelOnly="1" outline="0" axis="axisCol" fieldPosition="0"/>
    </format>
    <format dxfId="56">
      <pivotArea type="topRight" dataOnly="0" labelOnly="1" outline="0" fieldPosition="0"/>
    </format>
    <format dxfId="55">
      <pivotArea dataOnly="0" labelOnly="1" fieldPosition="0">
        <references count="1">
          <reference field="10" count="0"/>
        </references>
      </pivotArea>
    </format>
    <format dxfId="54">
      <pivotArea dataOnly="0" labelOnly="1" grandCol="1" outline="0" fieldPosition="0"/>
    </format>
    <format dxfId="53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5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1" colHeaderCaption="Durée de séjour">
  <location ref="A3:F8" firstHeaderRow="1" firstDataRow="2" firstDataCol="1"/>
  <pivotFields count="13">
    <pivotField showAll="0"/>
    <pivotField showAll="0"/>
    <pivotField showAll="0"/>
    <pivotField axis="axisRow" dataField="1" showAll="0">
      <items count="4">
        <item n="Non, sûrement pas" x="1"/>
        <item n="Oui, à condition" x="2"/>
        <item n="Oui, sûrement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1"/>
        <item h="1" x="4"/>
        <item n="Moins d'1 semaine" x="3"/>
        <item x="2"/>
        <item h="1" x="5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3"/>
    </i>
    <i>
      <x v="4"/>
    </i>
    <i t="grand">
      <x/>
    </i>
  </colItems>
  <dataFields count="1">
    <dataField name="Si une visite guidée avait été proposée, auriez-vous été intéressé ? " fld="3" subtotal="count" showDataAs="percentOfCol" baseField="0" baseItem="0" numFmtId="10"/>
  </dataFields>
  <formats count="24">
    <format dxfId="52">
      <pivotArea type="origin" dataOnly="0" labelOnly="1" outline="0" fieldPosition="0"/>
    </format>
    <format dxfId="51">
      <pivotArea field="3" type="button" dataOnly="0" labelOnly="1" outline="0" axis="axisRow" fieldPosition="0"/>
    </format>
    <format dxfId="50">
      <pivotArea field="11" type="button" dataOnly="0" labelOnly="1" outline="0" axis="axisCol" fieldPosition="0"/>
    </format>
    <format dxfId="49">
      <pivotArea type="topRight" dataOnly="0" labelOnly="1" outline="0" fieldPosition="0"/>
    </format>
    <format dxfId="48">
      <pivotArea dataOnly="0" labelOnly="1" fieldPosition="0">
        <references count="1">
          <reference field="11" count="0"/>
        </references>
      </pivotArea>
    </format>
    <format dxfId="47">
      <pivotArea dataOnly="0" labelOnly="1" grandCol="1" outline="0" fieldPosition="0"/>
    </format>
    <format dxfId="46">
      <pivotArea type="origin" dataOnly="0" labelOnly="1" outline="0" fieldPosition="0"/>
    </format>
    <format dxfId="45">
      <pivotArea field="3" type="button" dataOnly="0" labelOnly="1" outline="0" axis="axisRow" fieldPosition="0"/>
    </format>
    <format dxfId="44">
      <pivotArea field="11" type="button" dataOnly="0" labelOnly="1" outline="0" axis="axisCol" fieldPosition="0"/>
    </format>
    <format dxfId="43">
      <pivotArea type="topRight" dataOnly="0" labelOnly="1" outline="0" fieldPosition="0"/>
    </format>
    <format dxfId="42">
      <pivotArea dataOnly="0" labelOnly="1" fieldPosition="0">
        <references count="1">
          <reference field="11" count="0"/>
        </references>
      </pivotArea>
    </format>
    <format dxfId="41">
      <pivotArea dataOnly="0" labelOnly="1" grandCol="1" outline="0" fieldPosition="0"/>
    </format>
    <format dxfId="40">
      <pivotArea type="origin" dataOnly="0" labelOnly="1" outline="0" fieldPosition="0"/>
    </format>
    <format dxfId="39">
      <pivotArea field="3" type="button" dataOnly="0" labelOnly="1" outline="0" axis="axisRow" fieldPosition="0"/>
    </format>
    <format dxfId="38">
      <pivotArea field="11" type="button" dataOnly="0" labelOnly="1" outline="0" axis="axisCol" fieldPosition="0"/>
    </format>
    <format dxfId="37">
      <pivotArea type="topRight" dataOnly="0" labelOnly="1" outline="0" fieldPosition="0"/>
    </format>
    <format dxfId="36">
      <pivotArea dataOnly="0" labelOnly="1" fieldPosition="0">
        <references count="1">
          <reference field="11" count="0"/>
        </references>
      </pivotArea>
    </format>
    <format dxfId="35">
      <pivotArea dataOnly="0" labelOnly="1" grandCol="1" outline="0" fieldPosition="0"/>
    </format>
    <format dxfId="34">
      <pivotArea collapsedLevelsAreSubtotals="1" fieldPosition="0">
        <references count="1">
          <reference field="3" count="0"/>
        </references>
      </pivotArea>
    </format>
    <format dxfId="33">
      <pivotArea collapsedLevelsAreSubtotals="1" fieldPosition="0">
        <references count="1">
          <reference field="3" count="0"/>
        </references>
      </pivotArea>
    </format>
    <format dxfId="32">
      <pivotArea collapsedLevelsAreSubtotals="1" fieldPosition="0">
        <references count="1">
          <reference field="3" count="0"/>
        </references>
      </pivotArea>
    </format>
    <format dxfId="31">
      <pivotArea grandRow="1" outline="0" collapsedLevelsAreSubtotals="1" fieldPosition="0"/>
    </format>
    <format dxfId="30">
      <pivotArea grandRow="1" outline="0" collapsedLevelsAreSubtotals="1" fieldPosition="0"/>
    </format>
    <format dxfId="29">
      <pivotArea grandRow="1"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eau croisé dynamique6" cacheId="1" applyNumberFormats="0" applyBorderFormats="0" applyFontFormats="0" applyPatternFormats="0" applyAlignmentFormats="0" applyWidthHeightFormats="1" dataCaption="Valeurs" updatedVersion="3" minRefreshableVersion="3" showCalcMbrs="0" useAutoFormatting="1" itemPrintTitles="1" createdVersion="3" indent="0" outline="1" outlineData="1" multipleFieldFilters="0" chartFormat="1" rowHeaderCaption="Durée" colHeaderCaption="Statut">
  <location ref="A3:E8" firstHeaderRow="1" firstDataRow="2" firstDataCol="1"/>
  <pivotFields count="13">
    <pivotField showAll="0"/>
    <pivotField showAll="0"/>
    <pivotField showAll="0"/>
    <pivotField showAll="0"/>
    <pivotField showAll="0"/>
    <pivotField axis="axisRow" dataField="1" showAll="0">
      <items count="5">
        <item x="1"/>
        <item x="0"/>
        <item x="3"/>
        <item h="1" x="2"/>
        <item t="default"/>
      </items>
    </pivotField>
    <pivotField showAll="0"/>
    <pivotField showAll="0"/>
    <pivotField axis="axisCol" showAll="0">
      <items count="6">
        <item x="4"/>
        <item x="1"/>
        <item x="2"/>
        <item x="0"/>
        <item h="1" x="3"/>
        <item t="default"/>
      </items>
    </pivotField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 v="1"/>
    </i>
    <i>
      <x v="2"/>
    </i>
    <i>
      <x v="3"/>
    </i>
    <i t="grand">
      <x/>
    </i>
  </colItems>
  <dataFields count="1">
    <dataField name="Quelle pourrait être la durée d'une visite guidée ?" fld="5" subtotal="count" showDataAs="percentOfCol" baseField="0" baseItem="0" numFmtId="9"/>
  </dataFields>
  <formats count="5">
    <format dxfId="28">
      <pivotArea type="all" dataOnly="0" outline="0" fieldPosition="0"/>
    </format>
    <format dxfId="27">
      <pivotArea type="all" dataOnly="0" outline="0" fieldPosition="0"/>
    </format>
    <format dxfId="26">
      <pivotArea type="all" dataOnly="0" outline="0" fieldPosition="0"/>
    </format>
    <format dxfId="25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8"/>
  <sheetViews>
    <sheetView topLeftCell="A7" workbookViewId="0">
      <selection activeCell="H14" sqref="H14"/>
    </sheetView>
  </sheetViews>
  <sheetFormatPr baseColWidth="10" defaultRowHeight="12.75" x14ac:dyDescent="0.2"/>
  <cols>
    <col min="1" max="1" width="24.28515625" customWidth="1"/>
    <col min="2" max="2" width="10.85546875" customWidth="1"/>
    <col min="3" max="3" width="10" customWidth="1"/>
    <col min="4" max="4" width="10.140625" customWidth="1"/>
    <col min="5" max="5" width="5.42578125" customWidth="1"/>
    <col min="6" max="6" width="5.5703125" customWidth="1"/>
    <col min="7" max="7" width="8" customWidth="1"/>
  </cols>
  <sheetData>
    <row r="3" spans="1:10" ht="38.25" x14ac:dyDescent="0.2">
      <c r="A3" s="9" t="s">
        <v>97</v>
      </c>
      <c r="B3" s="10" t="s">
        <v>96</v>
      </c>
      <c r="C3" s="8"/>
      <c r="D3" s="8"/>
      <c r="E3" s="8"/>
      <c r="F3" s="8"/>
    </row>
    <row r="4" spans="1:10" ht="38.25" x14ac:dyDescent="0.2">
      <c r="A4" s="5" t="s">
        <v>94</v>
      </c>
      <c r="B4" s="8" t="s">
        <v>86</v>
      </c>
      <c r="C4" s="8" t="s">
        <v>26</v>
      </c>
      <c r="D4" s="8" t="s">
        <v>36</v>
      </c>
      <c r="E4" s="8" t="s">
        <v>17</v>
      </c>
      <c r="F4" s="7" t="s">
        <v>95</v>
      </c>
      <c r="I4" s="8"/>
      <c r="J4" s="8"/>
    </row>
    <row r="5" spans="1:10" x14ac:dyDescent="0.2">
      <c r="A5" s="6" t="s">
        <v>98</v>
      </c>
      <c r="B5" s="12">
        <v>1</v>
      </c>
      <c r="C5" s="12">
        <v>0.34426229508196721</v>
      </c>
      <c r="D5" s="12">
        <v>0.38732394366197181</v>
      </c>
      <c r="E5" s="12">
        <v>0.52941176470588236</v>
      </c>
      <c r="F5" s="12">
        <v>0.39461883408071746</v>
      </c>
      <c r="I5" s="11"/>
      <c r="J5" s="11"/>
    </row>
    <row r="6" spans="1:10" x14ac:dyDescent="0.2">
      <c r="A6" s="6" t="s">
        <v>99</v>
      </c>
      <c r="B6" s="12">
        <v>0</v>
      </c>
      <c r="C6" s="12">
        <v>0.45901639344262296</v>
      </c>
      <c r="D6" s="12">
        <v>0.47183098591549294</v>
      </c>
      <c r="E6" s="12">
        <v>0.35294117647058826</v>
      </c>
      <c r="F6" s="12">
        <v>0.452914798206278</v>
      </c>
      <c r="I6" s="11"/>
      <c r="J6" s="11"/>
    </row>
    <row r="7" spans="1:10" x14ac:dyDescent="0.2">
      <c r="A7" s="6" t="s">
        <v>100</v>
      </c>
      <c r="B7" s="12">
        <v>0</v>
      </c>
      <c r="C7" s="12">
        <v>0.19672131147540983</v>
      </c>
      <c r="D7" s="12">
        <v>0.14084507042253522</v>
      </c>
      <c r="E7" s="12">
        <v>0.11764705882352941</v>
      </c>
      <c r="F7" s="12">
        <v>0.15246636771300448</v>
      </c>
      <c r="I7" s="11"/>
      <c r="J7" s="11"/>
    </row>
    <row r="8" spans="1:10" x14ac:dyDescent="0.2">
      <c r="A8" s="6" t="s">
        <v>95</v>
      </c>
      <c r="B8" s="12">
        <v>1</v>
      </c>
      <c r="C8" s="12">
        <v>1</v>
      </c>
      <c r="D8" s="12">
        <v>1</v>
      </c>
      <c r="E8" s="12">
        <v>1</v>
      </c>
      <c r="F8" s="12">
        <v>1</v>
      </c>
    </row>
  </sheetData>
  <pageMargins left="0.7" right="0.7" top="0.75" bottom="0.75" header="0.3" footer="0.3"/>
  <pageSetup paperSize="9" orientation="portrait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8"/>
  <sheetViews>
    <sheetView workbookViewId="0">
      <selection activeCell="G10" sqref="G10"/>
    </sheetView>
  </sheetViews>
  <sheetFormatPr baseColWidth="10" defaultRowHeight="12.75" x14ac:dyDescent="0.2"/>
  <cols>
    <col min="1" max="1" width="23.42578125" bestFit="1" customWidth="1"/>
    <col min="2" max="2" width="9.85546875" bestFit="1" customWidth="1"/>
    <col min="3" max="3" width="12.5703125" customWidth="1"/>
    <col min="4" max="4" width="10.7109375" bestFit="1" customWidth="1"/>
    <col min="5" max="5" width="8" bestFit="1" customWidth="1"/>
    <col min="6" max="6" width="12.140625" bestFit="1" customWidth="1"/>
    <col min="7" max="7" width="5.5703125" bestFit="1" customWidth="1"/>
    <col min="8" max="9" width="8" bestFit="1" customWidth="1"/>
  </cols>
  <sheetData>
    <row r="3" spans="1:5" ht="38.25" x14ac:dyDescent="0.2">
      <c r="A3" s="10" t="s">
        <v>97</v>
      </c>
      <c r="B3" s="10" t="s">
        <v>101</v>
      </c>
      <c r="C3" s="8"/>
      <c r="D3" s="8"/>
      <c r="E3" s="8"/>
    </row>
    <row r="4" spans="1:5" ht="38.25" x14ac:dyDescent="0.2">
      <c r="A4" s="10" t="s">
        <v>94</v>
      </c>
      <c r="B4" s="8" t="s">
        <v>18</v>
      </c>
      <c r="C4" s="8" t="s">
        <v>54</v>
      </c>
      <c r="D4" s="8" t="s">
        <v>51</v>
      </c>
      <c r="E4" s="8" t="s">
        <v>95</v>
      </c>
    </row>
    <row r="5" spans="1:5" x14ac:dyDescent="0.2">
      <c r="A5" s="6" t="s">
        <v>102</v>
      </c>
      <c r="B5" s="12">
        <v>0.32203389830508472</v>
      </c>
      <c r="C5" s="12">
        <v>0.625</v>
      </c>
      <c r="D5" s="12">
        <v>0.75</v>
      </c>
      <c r="E5" s="12">
        <v>0.38028169014084506</v>
      </c>
    </row>
    <row r="6" spans="1:5" x14ac:dyDescent="0.2">
      <c r="A6" s="6" t="s">
        <v>103</v>
      </c>
      <c r="B6" s="12">
        <v>0.49717514124293788</v>
      </c>
      <c r="C6" s="12">
        <v>0.29166666666666669</v>
      </c>
      <c r="D6" s="12">
        <v>0.25</v>
      </c>
      <c r="E6" s="12">
        <v>0.460093896713615</v>
      </c>
    </row>
    <row r="7" spans="1:5" x14ac:dyDescent="0.2">
      <c r="A7" s="6" t="s">
        <v>104</v>
      </c>
      <c r="B7" s="12">
        <v>0.1807909604519774</v>
      </c>
      <c r="C7" s="12">
        <v>8.3333333333333329E-2</v>
      </c>
      <c r="D7" s="12">
        <v>0</v>
      </c>
      <c r="E7" s="12">
        <v>0.15962441314553991</v>
      </c>
    </row>
    <row r="8" spans="1:5" x14ac:dyDescent="0.2">
      <c r="A8" s="6" t="s">
        <v>95</v>
      </c>
      <c r="B8" s="12">
        <v>1</v>
      </c>
      <c r="C8" s="12">
        <v>1</v>
      </c>
      <c r="D8" s="12">
        <v>1</v>
      </c>
      <c r="E8" s="1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8"/>
  <sheetViews>
    <sheetView topLeftCell="A10" workbookViewId="0">
      <selection activeCell="G16" sqref="G16"/>
    </sheetView>
  </sheetViews>
  <sheetFormatPr baseColWidth="10" defaultRowHeight="12.75" x14ac:dyDescent="0.2"/>
  <cols>
    <col min="1" max="1" width="25.5703125" customWidth="1"/>
    <col min="2" max="2" width="15.28515625" customWidth="1"/>
    <col min="3" max="3" width="15.140625" customWidth="1"/>
    <col min="4" max="4" width="13" customWidth="1"/>
    <col min="5" max="5" width="9.5703125" customWidth="1"/>
    <col min="6" max="6" width="13.140625" customWidth="1"/>
    <col min="7" max="7" width="8" customWidth="1"/>
    <col min="8" max="8" width="13.140625" bestFit="1" customWidth="1"/>
  </cols>
  <sheetData>
    <row r="3" spans="1:6" ht="38.25" x14ac:dyDescent="0.2">
      <c r="A3" s="10" t="s">
        <v>97</v>
      </c>
      <c r="B3" s="10" t="s">
        <v>105</v>
      </c>
      <c r="C3" s="8"/>
      <c r="D3" s="8"/>
      <c r="E3" s="8"/>
      <c r="F3" s="8"/>
    </row>
    <row r="4" spans="1:6" ht="25.5" x14ac:dyDescent="0.2">
      <c r="A4" s="10" t="s">
        <v>94</v>
      </c>
      <c r="B4" s="8" t="s">
        <v>19</v>
      </c>
      <c r="C4" s="8" t="s">
        <v>27</v>
      </c>
      <c r="D4" s="8" t="s">
        <v>46</v>
      </c>
      <c r="E4" s="8" t="s">
        <v>31</v>
      </c>
      <c r="F4" s="8" t="s">
        <v>95</v>
      </c>
    </row>
    <row r="5" spans="1:6" x14ac:dyDescent="0.2">
      <c r="A5" s="6" t="s">
        <v>102</v>
      </c>
      <c r="B5" s="13">
        <v>0.30303030303030304</v>
      </c>
      <c r="C5" s="13">
        <v>0.26315789473684209</v>
      </c>
      <c r="D5" s="13">
        <v>0.61538461538461542</v>
      </c>
      <c r="E5" s="13">
        <v>0.125</v>
      </c>
      <c r="F5" s="13">
        <v>0.36966824644549762</v>
      </c>
    </row>
    <row r="6" spans="1:6" x14ac:dyDescent="0.2">
      <c r="A6" s="6" t="s">
        <v>103</v>
      </c>
      <c r="B6" s="13">
        <v>0.54545454545454541</v>
      </c>
      <c r="C6" s="13">
        <v>0.42105263157894735</v>
      </c>
      <c r="D6" s="13">
        <v>0.30769230769230771</v>
      </c>
      <c r="E6" s="13">
        <v>0.375</v>
      </c>
      <c r="F6" s="13">
        <v>0.46919431279620855</v>
      </c>
    </row>
    <row r="7" spans="1:6" x14ac:dyDescent="0.2">
      <c r="A7" s="6" t="s">
        <v>104</v>
      </c>
      <c r="B7" s="13">
        <v>0.15151515151515152</v>
      </c>
      <c r="C7" s="13">
        <v>0.31578947368421051</v>
      </c>
      <c r="D7" s="13">
        <v>7.6923076923076927E-2</v>
      </c>
      <c r="E7" s="13">
        <v>0.5</v>
      </c>
      <c r="F7" s="13">
        <v>0.16113744075829384</v>
      </c>
    </row>
    <row r="8" spans="1:6" x14ac:dyDescent="0.2">
      <c r="A8" s="6" t="s">
        <v>95</v>
      </c>
      <c r="B8" s="13">
        <v>1</v>
      </c>
      <c r="C8" s="13">
        <v>1</v>
      </c>
      <c r="D8" s="13">
        <v>1</v>
      </c>
      <c r="E8" s="13">
        <v>1</v>
      </c>
      <c r="F8" s="13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8"/>
  <sheetViews>
    <sheetView workbookViewId="0">
      <selection activeCell="H25" sqref="H25"/>
    </sheetView>
  </sheetViews>
  <sheetFormatPr baseColWidth="10" defaultRowHeight="12.75" x14ac:dyDescent="0.2"/>
  <cols>
    <col min="1" max="1" width="21.42578125" customWidth="1"/>
    <col min="2" max="2" width="10.85546875" customWidth="1"/>
    <col min="3" max="3" width="10.140625" customWidth="1"/>
    <col min="4" max="4" width="8" customWidth="1"/>
    <col min="5" max="6" width="13.140625" customWidth="1"/>
    <col min="7" max="7" width="13.140625" bestFit="1" customWidth="1"/>
  </cols>
  <sheetData>
    <row r="3" spans="1:5" ht="38.25" x14ac:dyDescent="0.2">
      <c r="A3" s="10" t="s">
        <v>106</v>
      </c>
      <c r="B3" s="10" t="s">
        <v>96</v>
      </c>
      <c r="C3" s="8"/>
      <c r="D3" s="8"/>
      <c r="E3" s="8"/>
    </row>
    <row r="4" spans="1:5" x14ac:dyDescent="0.2">
      <c r="A4" s="10" t="s">
        <v>107</v>
      </c>
      <c r="B4" s="8" t="s">
        <v>26</v>
      </c>
      <c r="C4" s="8" t="s">
        <v>36</v>
      </c>
      <c r="D4" s="8" t="s">
        <v>17</v>
      </c>
      <c r="E4" s="8" t="s">
        <v>95</v>
      </c>
    </row>
    <row r="5" spans="1:5" x14ac:dyDescent="0.2">
      <c r="A5" s="8" t="s">
        <v>23</v>
      </c>
      <c r="B5" s="14">
        <v>0.53658536585365857</v>
      </c>
      <c r="C5" s="14">
        <v>0.4823529411764706</v>
      </c>
      <c r="D5" s="14">
        <v>0.75</v>
      </c>
      <c r="E5" s="14">
        <v>0.5149253731343284</v>
      </c>
    </row>
    <row r="6" spans="1:5" x14ac:dyDescent="0.2">
      <c r="A6" s="8" t="s">
        <v>16</v>
      </c>
      <c r="B6" s="14">
        <v>0.3902439024390244</v>
      </c>
      <c r="C6" s="14">
        <v>0.4823529411764706</v>
      </c>
      <c r="D6" s="14">
        <v>0.25</v>
      </c>
      <c r="E6" s="14">
        <v>0.44029850746268656</v>
      </c>
    </row>
    <row r="7" spans="1:5" x14ac:dyDescent="0.2">
      <c r="A7" s="8" t="s">
        <v>61</v>
      </c>
      <c r="B7" s="14">
        <v>7.3170731707317069E-2</v>
      </c>
      <c r="C7" s="14">
        <v>3.5294117647058823E-2</v>
      </c>
      <c r="D7" s="14">
        <v>0</v>
      </c>
      <c r="E7" s="14">
        <v>4.4776119402985072E-2</v>
      </c>
    </row>
    <row r="8" spans="1:5" x14ac:dyDescent="0.2">
      <c r="A8" s="8" t="s">
        <v>95</v>
      </c>
      <c r="B8" s="14">
        <v>1</v>
      </c>
      <c r="C8" s="14">
        <v>1</v>
      </c>
      <c r="D8" s="14">
        <v>1</v>
      </c>
      <c r="E8" s="1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231"/>
  <sheetViews>
    <sheetView tabSelected="1" workbookViewId="0">
      <pane ySplit="1" topLeftCell="A221" activePane="bottomLeft" state="frozen"/>
      <selection pane="bottomLeft" activeCell="L230" sqref="L230"/>
    </sheetView>
  </sheetViews>
  <sheetFormatPr baseColWidth="10" defaultColWidth="14.42578125" defaultRowHeight="15.75" customHeight="1" x14ac:dyDescent="0.2"/>
  <cols>
    <col min="1" max="19" width="21.5703125" customWidth="1"/>
  </cols>
  <sheetData>
    <row r="1" spans="1:14" ht="88.5" customHeight="1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/>
    </row>
    <row r="2" spans="1:14" ht="15.75" customHeight="1" x14ac:dyDescent="0.2">
      <c r="A2" s="1" t="s">
        <v>13</v>
      </c>
      <c r="B2" s="1" t="s">
        <v>21</v>
      </c>
      <c r="C2" s="1" t="s">
        <v>29</v>
      </c>
      <c r="D2" s="15" t="s">
        <v>103</v>
      </c>
      <c r="E2" s="15" t="s">
        <v>108</v>
      </c>
      <c r="F2" s="1" t="s">
        <v>16</v>
      </c>
      <c r="G2" s="1" t="s">
        <v>30</v>
      </c>
      <c r="I2" s="1" t="s">
        <v>26</v>
      </c>
      <c r="J2" s="1">
        <v>0</v>
      </c>
      <c r="K2" s="1" t="s">
        <v>18</v>
      </c>
      <c r="L2" s="1" t="s">
        <v>31</v>
      </c>
      <c r="M2" s="1" t="s">
        <v>32</v>
      </c>
    </row>
    <row r="3" spans="1:14" ht="15.75" customHeight="1" x14ac:dyDescent="0.2">
      <c r="A3" s="1" t="s">
        <v>33</v>
      </c>
      <c r="B3" s="1" t="s">
        <v>34</v>
      </c>
      <c r="C3" s="1" t="s">
        <v>15</v>
      </c>
      <c r="D3" s="15" t="s">
        <v>102</v>
      </c>
      <c r="H3" s="1" t="s">
        <v>35</v>
      </c>
      <c r="I3" s="1" t="s">
        <v>36</v>
      </c>
      <c r="J3" s="1">
        <v>3</v>
      </c>
      <c r="K3" s="1" t="s">
        <v>18</v>
      </c>
      <c r="L3" s="1" t="s">
        <v>19</v>
      </c>
      <c r="M3" s="1" t="s">
        <v>37</v>
      </c>
    </row>
    <row r="4" spans="1:14" ht="15.75" customHeight="1" x14ac:dyDescent="0.2">
      <c r="A4" s="1" t="s">
        <v>38</v>
      </c>
      <c r="B4" s="1" t="s">
        <v>21</v>
      </c>
      <c r="C4" s="1" t="s">
        <v>22</v>
      </c>
      <c r="D4" s="15" t="s">
        <v>102</v>
      </c>
      <c r="H4" s="1" t="s">
        <v>39</v>
      </c>
      <c r="I4" s="1" t="s">
        <v>36</v>
      </c>
      <c r="J4" s="1">
        <v>1</v>
      </c>
      <c r="K4" s="1" t="s">
        <v>18</v>
      </c>
      <c r="L4" s="1" t="s">
        <v>19</v>
      </c>
      <c r="M4" s="1" t="s">
        <v>40</v>
      </c>
    </row>
    <row r="5" spans="1:14" ht="15.75" customHeight="1" x14ac:dyDescent="0.2">
      <c r="A5" s="1" t="s">
        <v>13</v>
      </c>
      <c r="B5" s="1" t="s">
        <v>14</v>
      </c>
      <c r="C5" s="1" t="s">
        <v>41</v>
      </c>
      <c r="D5" s="15" t="s">
        <v>104</v>
      </c>
      <c r="E5" s="1" t="s">
        <v>42</v>
      </c>
      <c r="F5" s="1" t="s">
        <v>16</v>
      </c>
      <c r="G5" s="1" t="s">
        <v>30</v>
      </c>
      <c r="I5" s="1" t="s">
        <v>36</v>
      </c>
      <c r="J5" s="1">
        <v>1</v>
      </c>
      <c r="K5" s="1" t="s">
        <v>18</v>
      </c>
      <c r="L5" s="1" t="s">
        <v>19</v>
      </c>
      <c r="M5" s="1" t="s">
        <v>28</v>
      </c>
    </row>
    <row r="6" spans="1:14" ht="15.75" customHeight="1" x14ac:dyDescent="0.2">
      <c r="A6" s="1" t="s">
        <v>33</v>
      </c>
      <c r="B6" s="1" t="s">
        <v>34</v>
      </c>
      <c r="C6" s="1" t="s">
        <v>29</v>
      </c>
      <c r="D6" s="15" t="s">
        <v>103</v>
      </c>
      <c r="E6" s="1" t="s">
        <v>42</v>
      </c>
      <c r="F6" s="1" t="s">
        <v>16</v>
      </c>
      <c r="G6" s="1" t="s">
        <v>43</v>
      </c>
      <c r="I6" s="1" t="s">
        <v>36</v>
      </c>
      <c r="J6" s="1">
        <v>2</v>
      </c>
      <c r="K6" s="1" t="s">
        <v>18</v>
      </c>
      <c r="L6" s="1" t="s">
        <v>19</v>
      </c>
      <c r="M6" s="1" t="s">
        <v>28</v>
      </c>
    </row>
    <row r="7" spans="1:14" ht="15.75" customHeight="1" x14ac:dyDescent="0.2">
      <c r="A7" s="1" t="s">
        <v>13</v>
      </c>
      <c r="B7" s="1" t="s">
        <v>34</v>
      </c>
      <c r="C7" s="1" t="s">
        <v>15</v>
      </c>
      <c r="D7" s="15" t="s">
        <v>102</v>
      </c>
      <c r="H7" s="1" t="s">
        <v>25</v>
      </c>
      <c r="I7" s="1" t="s">
        <v>36</v>
      </c>
      <c r="J7" s="1">
        <v>3</v>
      </c>
      <c r="K7" s="1" t="s">
        <v>18</v>
      </c>
      <c r="L7" s="1" t="s">
        <v>19</v>
      </c>
      <c r="M7" s="1" t="s">
        <v>44</v>
      </c>
    </row>
    <row r="8" spans="1:14" ht="15.75" customHeight="1" x14ac:dyDescent="0.2">
      <c r="A8" s="1" t="s">
        <v>33</v>
      </c>
      <c r="B8" s="1" t="s">
        <v>21</v>
      </c>
      <c r="C8" s="1" t="s">
        <v>29</v>
      </c>
      <c r="D8" s="15" t="s">
        <v>103</v>
      </c>
      <c r="E8" s="1" t="s">
        <v>42</v>
      </c>
      <c r="F8" s="1" t="s">
        <v>16</v>
      </c>
      <c r="G8" s="1" t="s">
        <v>30</v>
      </c>
      <c r="I8" s="1" t="s">
        <v>36</v>
      </c>
      <c r="J8" s="1">
        <v>1</v>
      </c>
      <c r="K8" s="1" t="s">
        <v>45</v>
      </c>
      <c r="L8" s="1" t="s">
        <v>46</v>
      </c>
      <c r="M8" s="1" t="s">
        <v>28</v>
      </c>
    </row>
    <row r="9" spans="1:14" ht="15.75" customHeight="1" x14ac:dyDescent="0.2">
      <c r="A9" s="1" t="s">
        <v>13</v>
      </c>
      <c r="B9" s="1" t="s">
        <v>34</v>
      </c>
      <c r="C9" s="1" t="s">
        <v>41</v>
      </c>
      <c r="D9" s="15" t="s">
        <v>104</v>
      </c>
      <c r="E9" s="15" t="s">
        <v>108</v>
      </c>
      <c r="G9" s="1" t="s">
        <v>30</v>
      </c>
      <c r="I9" s="1" t="s">
        <v>36</v>
      </c>
      <c r="J9" s="1">
        <v>1</v>
      </c>
      <c r="K9" s="1" t="s">
        <v>18</v>
      </c>
      <c r="L9" s="1" t="s">
        <v>46</v>
      </c>
      <c r="M9" s="1" t="s">
        <v>40</v>
      </c>
    </row>
    <row r="10" spans="1:14" ht="15.75" customHeight="1" x14ac:dyDescent="0.2">
      <c r="A10" s="1" t="s">
        <v>13</v>
      </c>
      <c r="B10" s="1" t="s">
        <v>14</v>
      </c>
      <c r="C10" s="1" t="s">
        <v>29</v>
      </c>
      <c r="D10" s="15" t="s">
        <v>103</v>
      </c>
      <c r="E10" s="15" t="s">
        <v>108</v>
      </c>
      <c r="F10" s="1" t="s">
        <v>23</v>
      </c>
      <c r="G10" s="1" t="s">
        <v>43</v>
      </c>
      <c r="I10" s="1" t="s">
        <v>36</v>
      </c>
      <c r="J10" s="1">
        <v>2</v>
      </c>
      <c r="K10" s="1" t="s">
        <v>18</v>
      </c>
      <c r="L10" s="1" t="s">
        <v>19</v>
      </c>
      <c r="M10" s="1" t="s">
        <v>28</v>
      </c>
    </row>
    <row r="11" spans="1:14" ht="15.75" customHeight="1" x14ac:dyDescent="0.2">
      <c r="A11" s="1" t="s">
        <v>33</v>
      </c>
      <c r="B11" s="1" t="s">
        <v>21</v>
      </c>
      <c r="C11" s="1" t="s">
        <v>41</v>
      </c>
      <c r="D11" s="15" t="s">
        <v>104</v>
      </c>
      <c r="E11" s="1" t="s">
        <v>42</v>
      </c>
      <c r="F11" s="1" t="s">
        <v>16</v>
      </c>
      <c r="G11" s="1" t="s">
        <v>24</v>
      </c>
      <c r="I11" s="1" t="s">
        <v>36</v>
      </c>
      <c r="J11" s="1">
        <v>1</v>
      </c>
      <c r="K11" s="1" t="s">
        <v>18</v>
      </c>
      <c r="L11" s="1" t="s">
        <v>46</v>
      </c>
      <c r="M11" s="1" t="s">
        <v>40</v>
      </c>
    </row>
    <row r="12" spans="1:14" ht="15.75" customHeight="1" x14ac:dyDescent="0.2">
      <c r="A12" s="1" t="s">
        <v>33</v>
      </c>
      <c r="B12" s="1" t="s">
        <v>21</v>
      </c>
      <c r="C12" s="1" t="s">
        <v>15</v>
      </c>
      <c r="D12" s="15" t="s">
        <v>103</v>
      </c>
      <c r="E12" s="1" t="s">
        <v>42</v>
      </c>
      <c r="F12" s="1" t="s">
        <v>23</v>
      </c>
      <c r="G12" s="1" t="s">
        <v>43</v>
      </c>
      <c r="I12" s="1" t="s">
        <v>36</v>
      </c>
      <c r="J12" s="1">
        <v>2</v>
      </c>
      <c r="K12" s="1" t="s">
        <v>18</v>
      </c>
      <c r="L12" s="1" t="s">
        <v>19</v>
      </c>
      <c r="M12" s="1" t="s">
        <v>47</v>
      </c>
    </row>
    <row r="13" spans="1:14" ht="15.75" customHeight="1" x14ac:dyDescent="0.2">
      <c r="A13" s="1" t="s">
        <v>33</v>
      </c>
      <c r="B13" s="1" t="s">
        <v>34</v>
      </c>
      <c r="C13" s="1" t="s">
        <v>29</v>
      </c>
      <c r="D13" s="15" t="s">
        <v>102</v>
      </c>
      <c r="H13" s="1" t="s">
        <v>48</v>
      </c>
      <c r="I13" s="1" t="s">
        <v>36</v>
      </c>
      <c r="J13" s="1">
        <v>3</v>
      </c>
      <c r="K13" s="1" t="s">
        <v>18</v>
      </c>
      <c r="L13" s="1" t="s">
        <v>46</v>
      </c>
      <c r="M13" s="1" t="s">
        <v>40</v>
      </c>
    </row>
    <row r="14" spans="1:14" ht="15.75" customHeight="1" x14ac:dyDescent="0.2">
      <c r="A14" s="1" t="s">
        <v>13</v>
      </c>
      <c r="B14" s="1" t="s">
        <v>14</v>
      </c>
      <c r="C14" s="1" t="s">
        <v>41</v>
      </c>
      <c r="D14" s="15" t="s">
        <v>104</v>
      </c>
      <c r="E14" s="1" t="s">
        <v>42</v>
      </c>
      <c r="F14" s="1" t="s">
        <v>16</v>
      </c>
      <c r="G14" s="1" t="s">
        <v>24</v>
      </c>
      <c r="I14" s="1" t="s">
        <v>36</v>
      </c>
      <c r="J14" s="1">
        <v>1</v>
      </c>
      <c r="K14" s="1" t="s">
        <v>18</v>
      </c>
      <c r="L14" s="1" t="s">
        <v>19</v>
      </c>
      <c r="M14" s="1" t="s">
        <v>49</v>
      </c>
    </row>
    <row r="15" spans="1:14" ht="15.75" customHeight="1" x14ac:dyDescent="0.2">
      <c r="A15" s="1" t="s">
        <v>33</v>
      </c>
      <c r="B15" s="1" t="s">
        <v>21</v>
      </c>
      <c r="C15" s="1" t="s">
        <v>15</v>
      </c>
      <c r="D15" s="15" t="s">
        <v>102</v>
      </c>
      <c r="H15" s="1" t="s">
        <v>50</v>
      </c>
      <c r="I15" s="1" t="s">
        <v>36</v>
      </c>
      <c r="J15" s="1">
        <v>1</v>
      </c>
      <c r="K15" s="1" t="s">
        <v>51</v>
      </c>
      <c r="L15" s="1" t="s">
        <v>52</v>
      </c>
      <c r="M15" s="1" t="s">
        <v>20</v>
      </c>
    </row>
    <row r="16" spans="1:14" ht="15.75" customHeight="1" x14ac:dyDescent="0.2">
      <c r="A16" s="1" t="s">
        <v>38</v>
      </c>
      <c r="B16" s="1" t="s">
        <v>21</v>
      </c>
      <c r="C16" s="1" t="s">
        <v>22</v>
      </c>
      <c r="D16" s="15" t="s">
        <v>102</v>
      </c>
      <c r="H16" s="1" t="s">
        <v>53</v>
      </c>
      <c r="I16" s="1" t="s">
        <v>36</v>
      </c>
      <c r="J16" s="1">
        <v>3</v>
      </c>
      <c r="K16" s="1" t="s">
        <v>54</v>
      </c>
      <c r="L16" s="1" t="s">
        <v>46</v>
      </c>
      <c r="M16" s="1" t="s">
        <v>55</v>
      </c>
    </row>
    <row r="17" spans="1:13" ht="15.75" customHeight="1" x14ac:dyDescent="0.2">
      <c r="A17" s="1" t="s">
        <v>33</v>
      </c>
      <c r="B17" s="1" t="s">
        <v>34</v>
      </c>
      <c r="C17" s="1" t="s">
        <v>29</v>
      </c>
      <c r="D17" s="15" t="s">
        <v>103</v>
      </c>
      <c r="E17" s="1" t="s">
        <v>42</v>
      </c>
      <c r="F17" s="1" t="s">
        <v>16</v>
      </c>
      <c r="G17" s="1" t="s">
        <v>30</v>
      </c>
      <c r="I17" s="1" t="s">
        <v>36</v>
      </c>
      <c r="J17" s="1">
        <v>1</v>
      </c>
      <c r="K17" s="1" t="s">
        <v>18</v>
      </c>
      <c r="L17" s="1" t="s">
        <v>19</v>
      </c>
      <c r="M17" s="1" t="s">
        <v>40</v>
      </c>
    </row>
    <row r="18" spans="1:13" ht="15.75" customHeight="1" x14ac:dyDescent="0.2">
      <c r="A18" s="1" t="s">
        <v>13</v>
      </c>
      <c r="B18" s="1" t="s">
        <v>14</v>
      </c>
      <c r="C18" s="1" t="s">
        <v>41</v>
      </c>
      <c r="D18" s="15" t="s">
        <v>103</v>
      </c>
      <c r="E18" s="1" t="s">
        <v>42</v>
      </c>
      <c r="F18" s="1" t="s">
        <v>16</v>
      </c>
      <c r="G18" s="1" t="s">
        <v>24</v>
      </c>
      <c r="I18" s="1" t="s">
        <v>36</v>
      </c>
      <c r="J18" s="1">
        <v>1</v>
      </c>
      <c r="K18" s="1" t="s">
        <v>54</v>
      </c>
      <c r="L18" s="1" t="s">
        <v>46</v>
      </c>
      <c r="M18" s="1" t="s">
        <v>20</v>
      </c>
    </row>
    <row r="19" spans="1:13" ht="15.75" customHeight="1" x14ac:dyDescent="0.2">
      <c r="A19" s="1" t="s">
        <v>33</v>
      </c>
      <c r="B19" s="1" t="s">
        <v>34</v>
      </c>
      <c r="C19" s="1" t="s">
        <v>29</v>
      </c>
      <c r="D19" s="15" t="s">
        <v>104</v>
      </c>
      <c r="E19" s="15" t="s">
        <v>108</v>
      </c>
      <c r="F19" s="1" t="s">
        <v>23</v>
      </c>
      <c r="G19" s="1" t="s">
        <v>43</v>
      </c>
      <c r="I19" s="1" t="s">
        <v>36</v>
      </c>
      <c r="J19" s="1">
        <v>2</v>
      </c>
      <c r="K19" s="1" t="s">
        <v>18</v>
      </c>
      <c r="L19" s="1" t="s">
        <v>19</v>
      </c>
      <c r="M19" s="1" t="s">
        <v>56</v>
      </c>
    </row>
    <row r="20" spans="1:13" ht="15.75" customHeight="1" x14ac:dyDescent="0.2">
      <c r="A20" s="1" t="s">
        <v>13</v>
      </c>
      <c r="B20" s="1" t="s">
        <v>34</v>
      </c>
      <c r="C20" s="1" t="s">
        <v>29</v>
      </c>
      <c r="D20" s="15" t="s">
        <v>103</v>
      </c>
      <c r="E20" s="15" t="s">
        <v>108</v>
      </c>
      <c r="F20" s="1" t="s">
        <v>23</v>
      </c>
      <c r="G20" s="1" t="s">
        <v>43</v>
      </c>
      <c r="I20" s="1" t="s">
        <v>36</v>
      </c>
      <c r="J20" s="1">
        <v>2</v>
      </c>
      <c r="K20" s="1" t="s">
        <v>54</v>
      </c>
      <c r="L20" s="1" t="s">
        <v>46</v>
      </c>
      <c r="M20" s="1" t="s">
        <v>20</v>
      </c>
    </row>
    <row r="21" spans="1:13" ht="15.75" customHeight="1" x14ac:dyDescent="0.2">
      <c r="A21" s="1" t="s">
        <v>33</v>
      </c>
      <c r="B21" s="1" t="s">
        <v>21</v>
      </c>
      <c r="C21" s="1" t="s">
        <v>29</v>
      </c>
      <c r="D21" s="15" t="s">
        <v>102</v>
      </c>
      <c r="H21" s="1" t="s">
        <v>57</v>
      </c>
      <c r="I21" s="1" t="s">
        <v>36</v>
      </c>
      <c r="J21" s="1">
        <v>2</v>
      </c>
      <c r="K21" s="1" t="s">
        <v>51</v>
      </c>
      <c r="L21" s="1" t="s">
        <v>52</v>
      </c>
      <c r="M21" s="1" t="s">
        <v>20</v>
      </c>
    </row>
    <row r="22" spans="1:13" ht="15.75" customHeight="1" x14ac:dyDescent="0.2">
      <c r="A22" s="1" t="s">
        <v>33</v>
      </c>
      <c r="B22" s="1" t="s">
        <v>34</v>
      </c>
      <c r="C22" s="1" t="s">
        <v>29</v>
      </c>
      <c r="D22" s="15" t="s">
        <v>103</v>
      </c>
      <c r="E22" s="1" t="s">
        <v>42</v>
      </c>
      <c r="F22" s="1" t="s">
        <v>23</v>
      </c>
      <c r="G22" s="1" t="s">
        <v>43</v>
      </c>
      <c r="I22" s="1" t="s">
        <v>36</v>
      </c>
      <c r="J22" s="1">
        <v>1</v>
      </c>
      <c r="K22" s="1" t="s">
        <v>18</v>
      </c>
      <c r="L22" s="1" t="s">
        <v>19</v>
      </c>
      <c r="M22" s="1" t="s">
        <v>58</v>
      </c>
    </row>
    <row r="23" spans="1:13" ht="15.75" customHeight="1" x14ac:dyDescent="0.2">
      <c r="A23" s="1" t="s">
        <v>13</v>
      </c>
      <c r="B23" s="1" t="s">
        <v>14</v>
      </c>
      <c r="C23" s="1" t="s">
        <v>59</v>
      </c>
      <c r="D23" s="15" t="s">
        <v>104</v>
      </c>
      <c r="E23" s="1" t="s">
        <v>42</v>
      </c>
      <c r="F23" s="1" t="s">
        <v>16</v>
      </c>
      <c r="G23" s="1" t="s">
        <v>24</v>
      </c>
      <c r="I23" s="1" t="s">
        <v>36</v>
      </c>
      <c r="J23" s="1">
        <v>2</v>
      </c>
      <c r="K23" s="1" t="s">
        <v>18</v>
      </c>
      <c r="L23" s="1" t="s">
        <v>19</v>
      </c>
      <c r="M23" s="1" t="s">
        <v>40</v>
      </c>
    </row>
    <row r="24" spans="1:13" ht="15.75" customHeight="1" x14ac:dyDescent="0.2">
      <c r="A24" s="1" t="s">
        <v>33</v>
      </c>
      <c r="B24" s="1" t="s">
        <v>34</v>
      </c>
      <c r="C24" s="1" t="s">
        <v>41</v>
      </c>
      <c r="D24" s="15" t="s">
        <v>103</v>
      </c>
      <c r="E24" s="15" t="s">
        <v>108</v>
      </c>
      <c r="F24" s="1" t="s">
        <v>23</v>
      </c>
      <c r="G24" s="1" t="s">
        <v>43</v>
      </c>
      <c r="I24" s="1" t="s">
        <v>36</v>
      </c>
      <c r="J24" s="1">
        <v>1</v>
      </c>
      <c r="K24" s="1" t="s">
        <v>54</v>
      </c>
      <c r="L24" s="1" t="s">
        <v>46</v>
      </c>
      <c r="M24" s="1" t="s">
        <v>20</v>
      </c>
    </row>
    <row r="25" spans="1:13" ht="15.75" customHeight="1" x14ac:dyDescent="0.2">
      <c r="A25" s="1" t="s">
        <v>33</v>
      </c>
      <c r="B25" s="1" t="s">
        <v>34</v>
      </c>
      <c r="C25" s="1" t="s">
        <v>29</v>
      </c>
      <c r="D25" s="15" t="s">
        <v>103</v>
      </c>
      <c r="E25" s="15" t="s">
        <v>108</v>
      </c>
      <c r="F25" s="1" t="s">
        <v>23</v>
      </c>
      <c r="G25" s="1" t="s">
        <v>43</v>
      </c>
      <c r="I25" s="1" t="s">
        <v>36</v>
      </c>
      <c r="J25" s="1">
        <v>1</v>
      </c>
      <c r="K25" s="1" t="s">
        <v>18</v>
      </c>
      <c r="L25" s="1" t="s">
        <v>19</v>
      </c>
      <c r="M25" s="1" t="s">
        <v>56</v>
      </c>
    </row>
    <row r="26" spans="1:13" ht="15.75" customHeight="1" x14ac:dyDescent="0.2">
      <c r="A26" s="1" t="s">
        <v>13</v>
      </c>
      <c r="B26" s="1" t="s">
        <v>34</v>
      </c>
      <c r="C26" s="1" t="s">
        <v>29</v>
      </c>
      <c r="D26" s="15" t="s">
        <v>103</v>
      </c>
      <c r="E26" s="1" t="s">
        <v>42</v>
      </c>
      <c r="F26" s="1" t="s">
        <v>16</v>
      </c>
      <c r="G26" s="1" t="s">
        <v>24</v>
      </c>
      <c r="I26" s="1" t="s">
        <v>36</v>
      </c>
      <c r="J26" s="1">
        <v>2</v>
      </c>
      <c r="K26" s="1" t="s">
        <v>18</v>
      </c>
      <c r="L26" s="1" t="s">
        <v>27</v>
      </c>
      <c r="M26" s="1" t="s">
        <v>40</v>
      </c>
    </row>
    <row r="27" spans="1:13" ht="15.75" customHeight="1" x14ac:dyDescent="0.2">
      <c r="A27" s="1" t="s">
        <v>33</v>
      </c>
      <c r="B27" s="1" t="s">
        <v>21</v>
      </c>
      <c r="C27" s="1" t="s">
        <v>15</v>
      </c>
      <c r="D27" s="15" t="s">
        <v>102</v>
      </c>
      <c r="H27" s="1" t="s">
        <v>50</v>
      </c>
      <c r="I27" s="1" t="s">
        <v>36</v>
      </c>
      <c r="J27" s="1">
        <v>2</v>
      </c>
      <c r="K27" s="1" t="s">
        <v>18</v>
      </c>
      <c r="L27" s="1" t="s">
        <v>19</v>
      </c>
      <c r="M27" s="1" t="s">
        <v>40</v>
      </c>
    </row>
    <row r="28" spans="1:13" ht="15.75" customHeight="1" x14ac:dyDescent="0.2">
      <c r="A28" s="1" t="s">
        <v>33</v>
      </c>
      <c r="B28" s="1" t="s">
        <v>34</v>
      </c>
      <c r="C28" s="1" t="s">
        <v>29</v>
      </c>
      <c r="D28" s="15" t="s">
        <v>103</v>
      </c>
      <c r="E28" s="15" t="s">
        <v>108</v>
      </c>
      <c r="F28" s="1" t="s">
        <v>23</v>
      </c>
      <c r="G28" s="1" t="s">
        <v>43</v>
      </c>
      <c r="I28" s="1" t="s">
        <v>36</v>
      </c>
      <c r="J28" s="1">
        <v>2</v>
      </c>
      <c r="K28" s="1" t="s">
        <v>18</v>
      </c>
      <c r="L28" s="1" t="s">
        <v>19</v>
      </c>
      <c r="M28" s="1" t="s">
        <v>28</v>
      </c>
    </row>
    <row r="29" spans="1:13" ht="15.75" customHeight="1" x14ac:dyDescent="0.2">
      <c r="A29" s="1" t="s">
        <v>13</v>
      </c>
      <c r="B29" s="1" t="s">
        <v>34</v>
      </c>
      <c r="C29" s="1" t="s">
        <v>29</v>
      </c>
      <c r="D29" s="15" t="s">
        <v>103</v>
      </c>
      <c r="E29" s="15" t="s">
        <v>108</v>
      </c>
      <c r="F29" s="1" t="s">
        <v>23</v>
      </c>
      <c r="G29" s="1" t="s">
        <v>43</v>
      </c>
      <c r="I29" s="1" t="s">
        <v>36</v>
      </c>
      <c r="J29" s="1">
        <v>1</v>
      </c>
      <c r="K29" s="1" t="s">
        <v>18</v>
      </c>
      <c r="L29" s="1" t="s">
        <v>19</v>
      </c>
      <c r="M29" s="1" t="s">
        <v>28</v>
      </c>
    </row>
    <row r="30" spans="1:13" ht="15.75" customHeight="1" x14ac:dyDescent="0.2">
      <c r="A30" s="1" t="s">
        <v>33</v>
      </c>
      <c r="B30" s="1" t="s">
        <v>21</v>
      </c>
      <c r="C30" s="1" t="s">
        <v>15</v>
      </c>
      <c r="D30" s="15" t="s">
        <v>102</v>
      </c>
      <c r="H30" s="1" t="s">
        <v>50</v>
      </c>
      <c r="I30" s="1" t="s">
        <v>36</v>
      </c>
      <c r="J30" s="1">
        <v>1</v>
      </c>
      <c r="K30" s="1" t="s">
        <v>18</v>
      </c>
      <c r="L30" s="1" t="s">
        <v>46</v>
      </c>
      <c r="M30" s="1" t="s">
        <v>20</v>
      </c>
    </row>
    <row r="31" spans="1:13" ht="15.75" customHeight="1" x14ac:dyDescent="0.2">
      <c r="A31" s="1" t="s">
        <v>13</v>
      </c>
      <c r="B31" s="1" t="s">
        <v>14</v>
      </c>
      <c r="C31" s="1" t="s">
        <v>59</v>
      </c>
      <c r="D31" s="15" t="s">
        <v>104</v>
      </c>
      <c r="E31" s="1" t="s">
        <v>60</v>
      </c>
      <c r="F31" s="1" t="s">
        <v>61</v>
      </c>
      <c r="G31" s="1" t="s">
        <v>24</v>
      </c>
      <c r="I31" s="1" t="s">
        <v>36</v>
      </c>
      <c r="J31" s="1">
        <v>2</v>
      </c>
      <c r="K31" s="1" t="s">
        <v>18</v>
      </c>
      <c r="L31" s="1" t="s">
        <v>19</v>
      </c>
      <c r="M31" s="1" t="s">
        <v>40</v>
      </c>
    </row>
    <row r="32" spans="1:13" ht="15.75" customHeight="1" x14ac:dyDescent="0.2">
      <c r="A32" s="1" t="s">
        <v>33</v>
      </c>
      <c r="B32" s="1" t="s">
        <v>34</v>
      </c>
      <c r="C32" s="1" t="s">
        <v>29</v>
      </c>
      <c r="D32" s="15" t="s">
        <v>103</v>
      </c>
      <c r="E32" s="1" t="s">
        <v>42</v>
      </c>
      <c r="F32" s="1" t="s">
        <v>16</v>
      </c>
      <c r="G32" s="1" t="s">
        <v>24</v>
      </c>
      <c r="I32" s="1" t="s">
        <v>36</v>
      </c>
      <c r="J32" s="1">
        <v>2</v>
      </c>
      <c r="K32" s="1" t="s">
        <v>54</v>
      </c>
      <c r="L32" s="1" t="s">
        <v>46</v>
      </c>
      <c r="M32" s="1" t="s">
        <v>20</v>
      </c>
    </row>
    <row r="33" spans="1:13" ht="15.75" customHeight="1" x14ac:dyDescent="0.2">
      <c r="A33" s="1" t="s">
        <v>33</v>
      </c>
      <c r="B33" s="1" t="s">
        <v>34</v>
      </c>
      <c r="C33" s="1" t="s">
        <v>29</v>
      </c>
      <c r="D33" s="15" t="s">
        <v>103</v>
      </c>
      <c r="E33" s="15" t="s">
        <v>108</v>
      </c>
      <c r="F33" s="1" t="s">
        <v>23</v>
      </c>
      <c r="G33" s="1" t="s">
        <v>43</v>
      </c>
      <c r="I33" s="1" t="s">
        <v>36</v>
      </c>
      <c r="J33" s="1">
        <v>1</v>
      </c>
      <c r="K33" s="1" t="s">
        <v>18</v>
      </c>
      <c r="L33" s="1" t="s">
        <v>19</v>
      </c>
      <c r="M33" s="1" t="s">
        <v>40</v>
      </c>
    </row>
    <row r="34" spans="1:13" ht="15.75" customHeight="1" x14ac:dyDescent="0.2">
      <c r="A34" s="1" t="s">
        <v>13</v>
      </c>
      <c r="B34" s="1" t="s">
        <v>34</v>
      </c>
      <c r="C34" s="1" t="s">
        <v>41</v>
      </c>
      <c r="D34" s="15" t="s">
        <v>103</v>
      </c>
      <c r="E34" s="1" t="s">
        <v>42</v>
      </c>
      <c r="F34" s="1" t="s">
        <v>16</v>
      </c>
      <c r="G34" s="1" t="s">
        <v>62</v>
      </c>
      <c r="I34" s="1" t="s">
        <v>36</v>
      </c>
      <c r="J34" s="1">
        <v>3</v>
      </c>
      <c r="K34" s="1" t="s">
        <v>18</v>
      </c>
      <c r="L34" s="1" t="s">
        <v>27</v>
      </c>
      <c r="M34" s="1" t="s">
        <v>40</v>
      </c>
    </row>
    <row r="35" spans="1:13" ht="15.75" customHeight="1" x14ac:dyDescent="0.2">
      <c r="A35" s="1" t="s">
        <v>38</v>
      </c>
      <c r="B35" s="1" t="s">
        <v>21</v>
      </c>
      <c r="C35" s="1" t="s">
        <v>15</v>
      </c>
      <c r="D35" s="15" t="s">
        <v>102</v>
      </c>
      <c r="H35" s="1" t="s">
        <v>63</v>
      </c>
      <c r="I35" s="1" t="s">
        <v>36</v>
      </c>
      <c r="J35" s="1">
        <v>2</v>
      </c>
      <c r="K35" s="1" t="s">
        <v>54</v>
      </c>
      <c r="L35" s="1" t="s">
        <v>46</v>
      </c>
      <c r="M35" s="1" t="s">
        <v>66</v>
      </c>
    </row>
    <row r="36" spans="1:13" ht="15.75" customHeight="1" x14ac:dyDescent="0.2">
      <c r="A36" s="1" t="s">
        <v>13</v>
      </c>
      <c r="B36" s="1" t="s">
        <v>14</v>
      </c>
      <c r="C36" s="1" t="s">
        <v>41</v>
      </c>
      <c r="D36" s="15" t="s">
        <v>104</v>
      </c>
      <c r="E36" s="1" t="s">
        <v>42</v>
      </c>
      <c r="F36" s="1" t="s">
        <v>61</v>
      </c>
      <c r="G36" s="1" t="s">
        <v>24</v>
      </c>
      <c r="I36" s="1" t="s">
        <v>36</v>
      </c>
      <c r="J36" s="1">
        <v>2</v>
      </c>
      <c r="K36" s="1" t="s">
        <v>18</v>
      </c>
      <c r="L36" s="1" t="s">
        <v>27</v>
      </c>
      <c r="M36" s="1" t="s">
        <v>28</v>
      </c>
    </row>
    <row r="37" spans="1:13" ht="15.75" customHeight="1" x14ac:dyDescent="0.2">
      <c r="A37" s="1" t="s">
        <v>13</v>
      </c>
      <c r="B37" s="1" t="s">
        <v>34</v>
      </c>
      <c r="C37" s="1" t="s">
        <v>41</v>
      </c>
      <c r="D37" s="15" t="s">
        <v>103</v>
      </c>
      <c r="E37" s="1" t="s">
        <v>42</v>
      </c>
      <c r="F37" s="1" t="s">
        <v>16</v>
      </c>
      <c r="G37" s="1" t="s">
        <v>30</v>
      </c>
      <c r="I37" s="1" t="s">
        <v>36</v>
      </c>
      <c r="J37" s="1">
        <v>1</v>
      </c>
      <c r="K37" s="1" t="s">
        <v>64</v>
      </c>
      <c r="L37" s="1" t="s">
        <v>46</v>
      </c>
      <c r="M37" s="1" t="s">
        <v>40</v>
      </c>
    </row>
    <row r="38" spans="1:13" ht="15.75" customHeight="1" x14ac:dyDescent="0.2">
      <c r="A38" s="1" t="s">
        <v>13</v>
      </c>
      <c r="B38" s="1" t="s">
        <v>14</v>
      </c>
      <c r="C38" s="1" t="s">
        <v>41</v>
      </c>
      <c r="D38" s="15" t="s">
        <v>104</v>
      </c>
      <c r="E38" s="1" t="s">
        <v>42</v>
      </c>
      <c r="F38" s="1" t="s">
        <v>16</v>
      </c>
      <c r="G38" s="1" t="s">
        <v>24</v>
      </c>
      <c r="I38" s="1" t="s">
        <v>36</v>
      </c>
      <c r="J38" s="1">
        <v>2</v>
      </c>
      <c r="K38" s="1" t="s">
        <v>18</v>
      </c>
      <c r="L38" s="1" t="s">
        <v>19</v>
      </c>
      <c r="M38" s="1" t="s">
        <v>56</v>
      </c>
    </row>
    <row r="39" spans="1:13" ht="15.75" customHeight="1" x14ac:dyDescent="0.2">
      <c r="A39" s="1" t="s">
        <v>13</v>
      </c>
      <c r="B39" s="1" t="s">
        <v>14</v>
      </c>
      <c r="C39" s="1" t="s">
        <v>29</v>
      </c>
      <c r="D39" s="15" t="s">
        <v>103</v>
      </c>
      <c r="E39" s="15" t="s">
        <v>108</v>
      </c>
      <c r="F39" s="1" t="s">
        <v>23</v>
      </c>
      <c r="G39" s="1" t="s">
        <v>43</v>
      </c>
      <c r="I39" s="1" t="s">
        <v>36</v>
      </c>
      <c r="J39" s="1">
        <v>2</v>
      </c>
      <c r="K39" s="1" t="s">
        <v>18</v>
      </c>
      <c r="L39" s="1" t="s">
        <v>19</v>
      </c>
      <c r="M39" s="1" t="s">
        <v>40</v>
      </c>
    </row>
    <row r="40" spans="1:13" ht="15.75" customHeight="1" x14ac:dyDescent="0.2">
      <c r="A40" s="1" t="s">
        <v>33</v>
      </c>
      <c r="B40" s="1" t="s">
        <v>34</v>
      </c>
      <c r="C40" s="1" t="s">
        <v>29</v>
      </c>
      <c r="D40" s="15" t="s">
        <v>103</v>
      </c>
      <c r="E40" s="15" t="s">
        <v>108</v>
      </c>
      <c r="F40" s="1" t="s">
        <v>23</v>
      </c>
      <c r="G40" s="1" t="s">
        <v>43</v>
      </c>
      <c r="I40" s="1" t="s">
        <v>36</v>
      </c>
      <c r="J40" s="1">
        <v>2</v>
      </c>
      <c r="K40" s="1" t="s">
        <v>18</v>
      </c>
      <c r="L40" s="1" t="s">
        <v>19</v>
      </c>
      <c r="M40" s="1" t="s">
        <v>28</v>
      </c>
    </row>
    <row r="41" spans="1:13" ht="15.75" customHeight="1" x14ac:dyDescent="0.2">
      <c r="A41" s="1" t="s">
        <v>33</v>
      </c>
      <c r="B41" s="1" t="s">
        <v>21</v>
      </c>
      <c r="C41" s="1" t="s">
        <v>29</v>
      </c>
      <c r="D41" s="15" t="s">
        <v>102</v>
      </c>
      <c r="H41" s="1" t="s">
        <v>53</v>
      </c>
      <c r="I41" s="1" t="s">
        <v>36</v>
      </c>
      <c r="J41" s="1">
        <v>2</v>
      </c>
      <c r="K41" s="1" t="s">
        <v>54</v>
      </c>
      <c r="L41" s="1" t="s">
        <v>46</v>
      </c>
      <c r="M41" s="1" t="s">
        <v>28</v>
      </c>
    </row>
    <row r="42" spans="1:13" ht="15.75" customHeight="1" x14ac:dyDescent="0.2">
      <c r="A42" s="1" t="s">
        <v>13</v>
      </c>
      <c r="B42" s="1" t="s">
        <v>14</v>
      </c>
      <c r="C42" s="1" t="s">
        <v>41</v>
      </c>
      <c r="D42" s="15" t="s">
        <v>103</v>
      </c>
      <c r="E42" s="15" t="s">
        <v>108</v>
      </c>
      <c r="F42" s="1" t="s">
        <v>16</v>
      </c>
      <c r="G42" s="1" t="s">
        <v>43</v>
      </c>
      <c r="I42" s="1" t="s">
        <v>36</v>
      </c>
      <c r="J42" s="1">
        <v>3</v>
      </c>
      <c r="K42" s="1" t="s">
        <v>18</v>
      </c>
      <c r="L42" s="1" t="s">
        <v>19</v>
      </c>
      <c r="M42" s="1" t="s">
        <v>56</v>
      </c>
    </row>
    <row r="43" spans="1:13" ht="15.75" customHeight="1" x14ac:dyDescent="0.2">
      <c r="A43" s="1" t="s">
        <v>33</v>
      </c>
      <c r="B43" s="1" t="s">
        <v>21</v>
      </c>
      <c r="C43" s="1" t="s">
        <v>29</v>
      </c>
      <c r="D43" s="15" t="s">
        <v>102</v>
      </c>
      <c r="H43" s="1" t="s">
        <v>65</v>
      </c>
      <c r="I43" s="1" t="s">
        <v>36</v>
      </c>
      <c r="J43" s="1">
        <v>3</v>
      </c>
      <c r="K43" s="1" t="s">
        <v>18</v>
      </c>
      <c r="L43" s="1" t="s">
        <v>19</v>
      </c>
      <c r="M43" s="1" t="s">
        <v>40</v>
      </c>
    </row>
    <row r="44" spans="1:13" ht="15.75" customHeight="1" x14ac:dyDescent="0.2">
      <c r="A44" s="1" t="s">
        <v>33</v>
      </c>
      <c r="B44" s="1" t="s">
        <v>34</v>
      </c>
      <c r="C44" s="1" t="s">
        <v>41</v>
      </c>
      <c r="D44" s="15" t="s">
        <v>103</v>
      </c>
      <c r="E44" s="15" t="s">
        <v>108</v>
      </c>
      <c r="F44" s="1" t="s">
        <v>23</v>
      </c>
      <c r="G44" s="1" t="s">
        <v>43</v>
      </c>
      <c r="I44" s="1" t="s">
        <v>36</v>
      </c>
      <c r="J44" s="1">
        <v>2</v>
      </c>
      <c r="K44" s="1" t="s">
        <v>18</v>
      </c>
      <c r="L44" s="1" t="s">
        <v>19</v>
      </c>
      <c r="M44" s="1" t="s">
        <v>56</v>
      </c>
    </row>
    <row r="45" spans="1:13" ht="15.75" customHeight="1" x14ac:dyDescent="0.2">
      <c r="A45" s="1" t="s">
        <v>33</v>
      </c>
      <c r="B45" s="1" t="s">
        <v>21</v>
      </c>
      <c r="C45" s="1" t="s">
        <v>29</v>
      </c>
      <c r="D45" s="15" t="s">
        <v>102</v>
      </c>
      <c r="H45" s="1" t="s">
        <v>25</v>
      </c>
      <c r="I45" s="1" t="s">
        <v>36</v>
      </c>
      <c r="J45" s="1">
        <v>2</v>
      </c>
      <c r="K45" s="1" t="s">
        <v>18</v>
      </c>
      <c r="L45" s="1" t="s">
        <v>19</v>
      </c>
      <c r="M45" s="1" t="s">
        <v>40</v>
      </c>
    </row>
    <row r="46" spans="1:13" ht="15.75" customHeight="1" x14ac:dyDescent="0.2">
      <c r="A46" s="1" t="s">
        <v>38</v>
      </c>
      <c r="B46" s="1" t="s">
        <v>21</v>
      </c>
      <c r="C46" s="1" t="s">
        <v>15</v>
      </c>
      <c r="D46" s="15" t="s">
        <v>102</v>
      </c>
      <c r="H46" s="1" t="s">
        <v>50</v>
      </c>
      <c r="I46" s="1" t="s">
        <v>36</v>
      </c>
      <c r="J46" s="1">
        <v>3</v>
      </c>
      <c r="K46" s="1" t="s">
        <v>18</v>
      </c>
      <c r="L46" s="1" t="s">
        <v>19</v>
      </c>
      <c r="M46" s="1" t="s">
        <v>20</v>
      </c>
    </row>
    <row r="47" spans="1:13" ht="15.75" customHeight="1" x14ac:dyDescent="0.2">
      <c r="A47" s="1" t="s">
        <v>13</v>
      </c>
      <c r="B47" s="1" t="s">
        <v>14</v>
      </c>
      <c r="C47" s="1" t="s">
        <v>41</v>
      </c>
      <c r="D47" s="15" t="s">
        <v>104</v>
      </c>
      <c r="E47" s="1" t="s">
        <v>42</v>
      </c>
      <c r="F47" s="1" t="s">
        <v>16</v>
      </c>
      <c r="G47" s="1" t="s">
        <v>24</v>
      </c>
      <c r="I47" s="1" t="s">
        <v>36</v>
      </c>
      <c r="J47" s="1">
        <v>2</v>
      </c>
      <c r="K47" s="1" t="s">
        <v>18</v>
      </c>
      <c r="L47" s="1" t="s">
        <v>19</v>
      </c>
      <c r="M47" s="1" t="s">
        <v>28</v>
      </c>
    </row>
    <row r="48" spans="1:13" ht="15.75" customHeight="1" x14ac:dyDescent="0.2">
      <c r="A48" s="1" t="s">
        <v>33</v>
      </c>
      <c r="B48" s="1" t="s">
        <v>34</v>
      </c>
      <c r="C48" s="1" t="s">
        <v>29</v>
      </c>
      <c r="D48" s="15" t="s">
        <v>103</v>
      </c>
      <c r="E48" s="15" t="s">
        <v>108</v>
      </c>
      <c r="F48" s="1" t="s">
        <v>23</v>
      </c>
      <c r="G48" s="1" t="s">
        <v>43</v>
      </c>
      <c r="I48" s="1" t="s">
        <v>36</v>
      </c>
      <c r="J48" s="1">
        <v>2</v>
      </c>
      <c r="K48" s="1" t="s">
        <v>18</v>
      </c>
      <c r="L48" s="1" t="s">
        <v>19</v>
      </c>
      <c r="M48" s="1" t="s">
        <v>40</v>
      </c>
    </row>
    <row r="49" spans="1:13" ht="15.75" customHeight="1" x14ac:dyDescent="0.2">
      <c r="A49" s="1" t="s">
        <v>13</v>
      </c>
      <c r="B49" s="1" t="s">
        <v>14</v>
      </c>
      <c r="C49" s="1" t="s">
        <v>59</v>
      </c>
      <c r="D49" s="15" t="s">
        <v>104</v>
      </c>
      <c r="E49" s="1" t="s">
        <v>42</v>
      </c>
      <c r="F49" s="1" t="s">
        <v>16</v>
      </c>
      <c r="G49" s="1" t="s">
        <v>24</v>
      </c>
      <c r="I49" s="1" t="s">
        <v>36</v>
      </c>
      <c r="J49" s="1">
        <v>2</v>
      </c>
      <c r="K49" s="1" t="s">
        <v>18</v>
      </c>
      <c r="L49" s="1" t="s">
        <v>27</v>
      </c>
      <c r="M49" s="1" t="s">
        <v>40</v>
      </c>
    </row>
    <row r="50" spans="1:13" ht="15.75" customHeight="1" x14ac:dyDescent="0.2">
      <c r="A50" s="1" t="s">
        <v>33</v>
      </c>
      <c r="B50" s="1" t="s">
        <v>34</v>
      </c>
      <c r="C50" s="1" t="s">
        <v>29</v>
      </c>
      <c r="D50" s="15" t="s">
        <v>103</v>
      </c>
      <c r="E50" s="15" t="s">
        <v>108</v>
      </c>
      <c r="F50" s="1" t="s">
        <v>23</v>
      </c>
      <c r="G50" s="1" t="s">
        <v>43</v>
      </c>
      <c r="I50" s="1" t="s">
        <v>36</v>
      </c>
      <c r="J50" s="1">
        <v>2</v>
      </c>
      <c r="K50" s="1" t="s">
        <v>54</v>
      </c>
      <c r="L50" s="1" t="s">
        <v>46</v>
      </c>
      <c r="M50" s="1" t="s">
        <v>20</v>
      </c>
    </row>
    <row r="51" spans="1:13" ht="15.75" customHeight="1" x14ac:dyDescent="0.2">
      <c r="A51" s="1" t="s">
        <v>13</v>
      </c>
      <c r="B51" s="1" t="s">
        <v>14</v>
      </c>
      <c r="C51" s="1" t="s">
        <v>41</v>
      </c>
      <c r="D51" s="15" t="s">
        <v>103</v>
      </c>
      <c r="E51" s="1" t="s">
        <v>42</v>
      </c>
      <c r="F51" s="1" t="s">
        <v>16</v>
      </c>
      <c r="G51" s="1" t="s">
        <v>24</v>
      </c>
      <c r="I51" s="1" t="s">
        <v>36</v>
      </c>
      <c r="J51" s="1">
        <v>2</v>
      </c>
      <c r="K51" s="1" t="s">
        <v>18</v>
      </c>
      <c r="L51" s="1" t="s">
        <v>19</v>
      </c>
      <c r="M51" s="1" t="s">
        <v>28</v>
      </c>
    </row>
    <row r="52" spans="1:13" ht="15.75" customHeight="1" x14ac:dyDescent="0.2">
      <c r="A52" s="1" t="s">
        <v>13</v>
      </c>
      <c r="B52" s="1" t="s">
        <v>14</v>
      </c>
      <c r="C52" s="1" t="s">
        <v>41</v>
      </c>
      <c r="D52" s="15" t="s">
        <v>104</v>
      </c>
      <c r="E52" s="15" t="s">
        <v>108</v>
      </c>
      <c r="F52" s="1" t="s">
        <v>16</v>
      </c>
      <c r="G52" s="1" t="s">
        <v>43</v>
      </c>
      <c r="I52" s="1" t="s">
        <v>36</v>
      </c>
      <c r="J52" s="1">
        <v>2</v>
      </c>
      <c r="K52" s="1" t="s">
        <v>18</v>
      </c>
      <c r="L52" s="1" t="s">
        <v>19</v>
      </c>
      <c r="M52" s="1" t="s">
        <v>56</v>
      </c>
    </row>
    <row r="53" spans="1:13" ht="15.75" customHeight="1" x14ac:dyDescent="0.2">
      <c r="A53" s="1" t="s">
        <v>13</v>
      </c>
      <c r="B53" s="1" t="s">
        <v>34</v>
      </c>
      <c r="C53" s="1" t="s">
        <v>29</v>
      </c>
      <c r="D53" s="15" t="s">
        <v>103</v>
      </c>
      <c r="E53" s="15" t="s">
        <v>108</v>
      </c>
      <c r="G53" s="1" t="s">
        <v>43</v>
      </c>
      <c r="I53" s="1" t="s">
        <v>36</v>
      </c>
      <c r="J53" s="1">
        <v>1</v>
      </c>
      <c r="K53" s="1" t="s">
        <v>18</v>
      </c>
      <c r="L53" s="1" t="s">
        <v>19</v>
      </c>
      <c r="M53" s="1" t="s">
        <v>40</v>
      </c>
    </row>
    <row r="54" spans="1:13" ht="15.75" customHeight="1" x14ac:dyDescent="0.2">
      <c r="A54" s="1" t="s">
        <v>13</v>
      </c>
      <c r="B54" s="1" t="s">
        <v>14</v>
      </c>
      <c r="C54" s="1" t="s">
        <v>41</v>
      </c>
      <c r="D54" s="15" t="s">
        <v>104</v>
      </c>
      <c r="E54" s="1" t="s">
        <v>42</v>
      </c>
      <c r="F54" s="1" t="s">
        <v>16</v>
      </c>
      <c r="G54" s="1" t="s">
        <v>30</v>
      </c>
      <c r="I54" s="1" t="s">
        <v>26</v>
      </c>
      <c r="K54" s="1" t="s">
        <v>18</v>
      </c>
      <c r="L54" s="1" t="s">
        <v>31</v>
      </c>
      <c r="M54" s="1" t="s">
        <v>40</v>
      </c>
    </row>
    <row r="55" spans="1:13" ht="15.75" customHeight="1" x14ac:dyDescent="0.2">
      <c r="A55" s="1" t="s">
        <v>13</v>
      </c>
      <c r="B55" s="1" t="s">
        <v>14</v>
      </c>
      <c r="C55" s="1" t="s">
        <v>29</v>
      </c>
      <c r="D55" s="15" t="s">
        <v>103</v>
      </c>
      <c r="E55" s="15" t="s">
        <v>108</v>
      </c>
      <c r="F55" s="1" t="s">
        <v>23</v>
      </c>
      <c r="G55" s="1" t="s">
        <v>30</v>
      </c>
      <c r="I55" s="1" t="s">
        <v>17</v>
      </c>
      <c r="K55" s="1" t="s">
        <v>18</v>
      </c>
      <c r="L55" s="1" t="s">
        <v>19</v>
      </c>
      <c r="M55" s="1" t="s">
        <v>40</v>
      </c>
    </row>
    <row r="56" spans="1:13" ht="15.75" customHeight="1" x14ac:dyDescent="0.2">
      <c r="A56" s="1" t="s">
        <v>13</v>
      </c>
      <c r="B56" s="1" t="s">
        <v>14</v>
      </c>
      <c r="C56" s="1" t="s">
        <v>41</v>
      </c>
      <c r="D56" s="15" t="s">
        <v>103</v>
      </c>
      <c r="E56" s="1" t="s">
        <v>42</v>
      </c>
      <c r="F56" s="1" t="s">
        <v>16</v>
      </c>
      <c r="G56" s="1" t="s">
        <v>43</v>
      </c>
      <c r="I56" s="1" t="s">
        <v>36</v>
      </c>
      <c r="J56" s="1">
        <v>2</v>
      </c>
      <c r="K56" s="1" t="s">
        <v>18</v>
      </c>
      <c r="L56" s="1" t="s">
        <v>19</v>
      </c>
      <c r="M56" s="1" t="s">
        <v>56</v>
      </c>
    </row>
    <row r="57" spans="1:13" ht="15.75" customHeight="1" x14ac:dyDescent="0.2">
      <c r="A57" s="1" t="s">
        <v>33</v>
      </c>
      <c r="B57" s="1" t="s">
        <v>34</v>
      </c>
      <c r="C57" s="1" t="s">
        <v>29</v>
      </c>
      <c r="D57" s="15" t="s">
        <v>103</v>
      </c>
      <c r="E57" s="15" t="s">
        <v>108</v>
      </c>
      <c r="F57" s="1" t="s">
        <v>23</v>
      </c>
      <c r="G57" s="1" t="s">
        <v>43</v>
      </c>
      <c r="I57" s="1" t="s">
        <v>36</v>
      </c>
      <c r="J57" s="1">
        <v>1</v>
      </c>
      <c r="K57" s="1" t="s">
        <v>18</v>
      </c>
      <c r="L57" s="1" t="s">
        <v>19</v>
      </c>
      <c r="M57" s="1" t="s">
        <v>40</v>
      </c>
    </row>
    <row r="58" spans="1:13" ht="15.75" customHeight="1" x14ac:dyDescent="0.2">
      <c r="A58" s="1" t="s">
        <v>33</v>
      </c>
      <c r="B58" s="1" t="s">
        <v>34</v>
      </c>
      <c r="C58" s="1" t="s">
        <v>29</v>
      </c>
      <c r="D58" s="15" t="s">
        <v>103</v>
      </c>
      <c r="E58" s="1" t="s">
        <v>42</v>
      </c>
      <c r="F58" s="1" t="s">
        <v>23</v>
      </c>
      <c r="G58" s="1" t="s">
        <v>43</v>
      </c>
      <c r="I58" s="1" t="s">
        <v>36</v>
      </c>
      <c r="J58" s="1">
        <v>2</v>
      </c>
      <c r="K58" s="1" t="s">
        <v>51</v>
      </c>
      <c r="L58" s="1" t="s">
        <v>52</v>
      </c>
      <c r="M58" s="1" t="s">
        <v>66</v>
      </c>
    </row>
    <row r="59" spans="1:13" ht="15.75" customHeight="1" x14ac:dyDescent="0.2">
      <c r="A59" s="1" t="s">
        <v>13</v>
      </c>
      <c r="B59" s="1" t="s">
        <v>14</v>
      </c>
      <c r="C59" s="1" t="s">
        <v>41</v>
      </c>
      <c r="D59" s="15" t="s">
        <v>103</v>
      </c>
      <c r="E59" s="1" t="s">
        <v>42</v>
      </c>
      <c r="F59" s="1" t="s">
        <v>16</v>
      </c>
      <c r="G59" s="1" t="s">
        <v>24</v>
      </c>
      <c r="I59" s="1" t="s">
        <v>36</v>
      </c>
      <c r="J59" s="1">
        <v>3</v>
      </c>
      <c r="K59" s="1" t="s">
        <v>18</v>
      </c>
      <c r="L59" s="1" t="s">
        <v>27</v>
      </c>
      <c r="M59" s="1" t="s">
        <v>40</v>
      </c>
    </row>
    <row r="60" spans="1:13" ht="15.75" customHeight="1" x14ac:dyDescent="0.2">
      <c r="A60" s="1" t="s">
        <v>13</v>
      </c>
      <c r="B60" s="1" t="s">
        <v>34</v>
      </c>
      <c r="C60" s="1" t="s">
        <v>29</v>
      </c>
      <c r="D60" s="15" t="s">
        <v>103</v>
      </c>
      <c r="E60" s="15" t="s">
        <v>108</v>
      </c>
      <c r="F60" s="1" t="s">
        <v>16</v>
      </c>
      <c r="G60" s="1" t="s">
        <v>62</v>
      </c>
      <c r="I60" s="1" t="s">
        <v>36</v>
      </c>
      <c r="J60" s="1">
        <v>2</v>
      </c>
      <c r="K60" s="1" t="s">
        <v>18</v>
      </c>
      <c r="L60" s="1" t="s">
        <v>19</v>
      </c>
      <c r="M60" s="1" t="s">
        <v>20</v>
      </c>
    </row>
    <row r="61" spans="1:13" ht="15.75" customHeight="1" x14ac:dyDescent="0.2">
      <c r="A61" s="1" t="s">
        <v>38</v>
      </c>
      <c r="B61" s="1" t="s">
        <v>21</v>
      </c>
      <c r="C61" s="1" t="s">
        <v>15</v>
      </c>
      <c r="D61" s="15" t="s">
        <v>102</v>
      </c>
      <c r="H61" s="1" t="s">
        <v>67</v>
      </c>
      <c r="I61" s="1" t="s">
        <v>36</v>
      </c>
      <c r="J61" s="1">
        <v>2</v>
      </c>
      <c r="K61" s="1" t="s">
        <v>18</v>
      </c>
      <c r="L61" s="1" t="s">
        <v>19</v>
      </c>
      <c r="M61" s="1" t="s">
        <v>40</v>
      </c>
    </row>
    <row r="62" spans="1:13" ht="15.75" customHeight="1" x14ac:dyDescent="0.2">
      <c r="A62" s="1" t="s">
        <v>33</v>
      </c>
      <c r="B62" s="1" t="s">
        <v>34</v>
      </c>
      <c r="C62" s="1" t="s">
        <v>29</v>
      </c>
      <c r="D62" s="15" t="s">
        <v>103</v>
      </c>
      <c r="E62" s="15" t="s">
        <v>108</v>
      </c>
      <c r="F62" s="1" t="s">
        <v>23</v>
      </c>
      <c r="G62" s="1" t="s">
        <v>43</v>
      </c>
      <c r="I62" s="1" t="s">
        <v>36</v>
      </c>
      <c r="J62" s="1">
        <v>1</v>
      </c>
      <c r="K62" s="1" t="s">
        <v>18</v>
      </c>
      <c r="L62" s="1" t="s">
        <v>19</v>
      </c>
      <c r="M62" s="1" t="s">
        <v>58</v>
      </c>
    </row>
    <row r="63" spans="1:13" ht="15.75" customHeight="1" x14ac:dyDescent="0.2">
      <c r="A63" s="1" t="s">
        <v>13</v>
      </c>
      <c r="B63" s="1" t="s">
        <v>14</v>
      </c>
      <c r="C63" s="1" t="s">
        <v>41</v>
      </c>
      <c r="D63" s="15" t="s">
        <v>103</v>
      </c>
      <c r="E63" s="1" t="s">
        <v>42</v>
      </c>
      <c r="F63" s="1" t="s">
        <v>16</v>
      </c>
      <c r="G63" s="1" t="s">
        <v>24</v>
      </c>
      <c r="I63" s="1" t="s">
        <v>36</v>
      </c>
      <c r="J63" s="1">
        <v>2</v>
      </c>
      <c r="K63" s="1" t="s">
        <v>18</v>
      </c>
      <c r="L63" s="1" t="s">
        <v>19</v>
      </c>
      <c r="M63" s="1" t="s">
        <v>28</v>
      </c>
    </row>
    <row r="64" spans="1:13" ht="15.75" customHeight="1" x14ac:dyDescent="0.2">
      <c r="A64" s="1" t="s">
        <v>33</v>
      </c>
      <c r="B64" s="1" t="s">
        <v>34</v>
      </c>
      <c r="C64" s="1" t="s">
        <v>29</v>
      </c>
      <c r="D64" s="15" t="s">
        <v>103</v>
      </c>
      <c r="E64" s="15" t="s">
        <v>108</v>
      </c>
      <c r="F64" s="1" t="s">
        <v>23</v>
      </c>
      <c r="G64" s="1" t="s">
        <v>43</v>
      </c>
      <c r="I64" s="1" t="s">
        <v>36</v>
      </c>
      <c r="J64" s="1">
        <v>3</v>
      </c>
      <c r="K64" s="1" t="s">
        <v>18</v>
      </c>
      <c r="L64" s="1" t="s">
        <v>19</v>
      </c>
      <c r="M64" s="1" t="s">
        <v>28</v>
      </c>
    </row>
    <row r="65" spans="1:13" ht="15.75" customHeight="1" x14ac:dyDescent="0.2">
      <c r="A65" s="1" t="s">
        <v>13</v>
      </c>
      <c r="B65" s="1" t="s">
        <v>14</v>
      </c>
      <c r="C65" s="1" t="s">
        <v>41</v>
      </c>
      <c r="D65" s="15" t="s">
        <v>104</v>
      </c>
      <c r="E65" s="1" t="s">
        <v>42</v>
      </c>
      <c r="F65" s="1" t="s">
        <v>16</v>
      </c>
      <c r="G65" s="1" t="s">
        <v>24</v>
      </c>
      <c r="I65" s="1" t="s">
        <v>36</v>
      </c>
      <c r="J65" s="1">
        <v>1</v>
      </c>
      <c r="K65" s="1" t="s">
        <v>54</v>
      </c>
      <c r="L65" s="1" t="s">
        <v>46</v>
      </c>
      <c r="M65" s="1" t="s">
        <v>20</v>
      </c>
    </row>
    <row r="66" spans="1:13" ht="15.75" customHeight="1" x14ac:dyDescent="0.2">
      <c r="A66" s="1" t="s">
        <v>13</v>
      </c>
      <c r="B66" s="1" t="s">
        <v>14</v>
      </c>
      <c r="C66" s="1" t="s">
        <v>59</v>
      </c>
      <c r="D66" s="15" t="s">
        <v>103</v>
      </c>
      <c r="E66" s="15" t="s">
        <v>108</v>
      </c>
      <c r="F66" s="1" t="s">
        <v>16</v>
      </c>
      <c r="G66" s="1" t="s">
        <v>24</v>
      </c>
      <c r="I66" s="1" t="s">
        <v>36</v>
      </c>
      <c r="J66" s="1">
        <v>1</v>
      </c>
      <c r="K66" s="1" t="s">
        <v>18</v>
      </c>
      <c r="L66" s="1" t="s">
        <v>19</v>
      </c>
      <c r="M66" s="1" t="s">
        <v>28</v>
      </c>
    </row>
    <row r="67" spans="1:13" ht="15.75" customHeight="1" x14ac:dyDescent="0.2">
      <c r="A67" s="1" t="s">
        <v>33</v>
      </c>
      <c r="B67" s="1" t="s">
        <v>21</v>
      </c>
      <c r="C67" s="1" t="s">
        <v>29</v>
      </c>
      <c r="D67" s="15" t="s">
        <v>102</v>
      </c>
      <c r="H67" s="1" t="s">
        <v>39</v>
      </c>
      <c r="I67" s="1" t="s">
        <v>36</v>
      </c>
      <c r="J67" s="1">
        <v>2</v>
      </c>
      <c r="K67" s="1" t="s">
        <v>68</v>
      </c>
      <c r="L67" s="1" t="s">
        <v>46</v>
      </c>
      <c r="M67" s="1" t="s">
        <v>40</v>
      </c>
    </row>
    <row r="68" spans="1:13" ht="15.75" customHeight="1" x14ac:dyDescent="0.2">
      <c r="A68" s="1" t="s">
        <v>13</v>
      </c>
      <c r="B68" s="1" t="s">
        <v>14</v>
      </c>
      <c r="C68" s="1" t="s">
        <v>59</v>
      </c>
      <c r="D68" s="15" t="s">
        <v>104</v>
      </c>
      <c r="E68" s="1" t="s">
        <v>42</v>
      </c>
      <c r="F68" s="1" t="s">
        <v>16</v>
      </c>
      <c r="G68" s="1" t="s">
        <v>24</v>
      </c>
      <c r="I68" s="1" t="s">
        <v>36</v>
      </c>
      <c r="J68" s="1">
        <v>2</v>
      </c>
      <c r="K68" s="1" t="s">
        <v>18</v>
      </c>
      <c r="L68" s="1" t="s">
        <v>27</v>
      </c>
      <c r="M68" s="1" t="s">
        <v>40</v>
      </c>
    </row>
    <row r="69" spans="1:13" ht="15.75" customHeight="1" x14ac:dyDescent="0.2">
      <c r="A69" s="1" t="s">
        <v>33</v>
      </c>
      <c r="B69" s="1" t="s">
        <v>34</v>
      </c>
      <c r="C69" s="1" t="s">
        <v>29</v>
      </c>
      <c r="D69" s="15" t="s">
        <v>103</v>
      </c>
      <c r="E69" s="15" t="s">
        <v>108</v>
      </c>
      <c r="F69" s="1" t="s">
        <v>23</v>
      </c>
      <c r="G69" s="1" t="s">
        <v>43</v>
      </c>
      <c r="I69" s="1" t="s">
        <v>36</v>
      </c>
      <c r="J69" s="1">
        <v>1</v>
      </c>
      <c r="K69" s="1" t="s">
        <v>64</v>
      </c>
      <c r="L69" s="1" t="s">
        <v>46</v>
      </c>
      <c r="M69" s="1" t="s">
        <v>28</v>
      </c>
    </row>
    <row r="70" spans="1:13" ht="15.75" customHeight="1" x14ac:dyDescent="0.2">
      <c r="A70" s="1" t="s">
        <v>13</v>
      </c>
      <c r="B70" s="1" t="s">
        <v>14</v>
      </c>
      <c r="C70" s="1" t="s">
        <v>41</v>
      </c>
      <c r="D70" s="15" t="s">
        <v>103</v>
      </c>
      <c r="E70" s="15" t="s">
        <v>108</v>
      </c>
      <c r="F70" s="1" t="s">
        <v>23</v>
      </c>
      <c r="G70" s="1" t="s">
        <v>30</v>
      </c>
      <c r="I70" s="1" t="s">
        <v>36</v>
      </c>
      <c r="J70" s="1">
        <v>1</v>
      </c>
      <c r="K70" s="1" t="s">
        <v>18</v>
      </c>
      <c r="L70" s="1" t="s">
        <v>46</v>
      </c>
      <c r="M70" s="1" t="s">
        <v>40</v>
      </c>
    </row>
    <row r="71" spans="1:13" ht="15.75" customHeight="1" x14ac:dyDescent="0.2">
      <c r="A71" s="1" t="s">
        <v>13</v>
      </c>
      <c r="B71" s="1" t="s">
        <v>14</v>
      </c>
      <c r="C71" s="1" t="s">
        <v>41</v>
      </c>
      <c r="D71" s="15" t="s">
        <v>103</v>
      </c>
      <c r="E71" s="1" t="s">
        <v>42</v>
      </c>
      <c r="F71" s="1" t="s">
        <v>16</v>
      </c>
      <c r="G71" s="1" t="s">
        <v>24</v>
      </c>
      <c r="I71" s="1" t="s">
        <v>36</v>
      </c>
      <c r="J71" s="1">
        <v>2</v>
      </c>
      <c r="K71" s="1" t="s">
        <v>18</v>
      </c>
      <c r="L71" s="1" t="s">
        <v>19</v>
      </c>
      <c r="M71" s="1" t="s">
        <v>56</v>
      </c>
    </row>
    <row r="72" spans="1:13" ht="15.75" customHeight="1" x14ac:dyDescent="0.2">
      <c r="A72" s="1" t="s">
        <v>13</v>
      </c>
      <c r="B72" s="1" t="s">
        <v>14</v>
      </c>
      <c r="C72" s="1" t="s">
        <v>41</v>
      </c>
      <c r="D72" s="15" t="s">
        <v>104</v>
      </c>
      <c r="E72" s="1" t="s">
        <v>42</v>
      </c>
      <c r="F72" s="1" t="s">
        <v>16</v>
      </c>
      <c r="G72" s="1" t="s">
        <v>24</v>
      </c>
      <c r="I72" s="1" t="s">
        <v>36</v>
      </c>
      <c r="J72" s="1">
        <v>2</v>
      </c>
      <c r="K72" s="1" t="s">
        <v>18</v>
      </c>
      <c r="L72" s="1" t="s">
        <v>19</v>
      </c>
      <c r="M72" s="1" t="s">
        <v>56</v>
      </c>
    </row>
    <row r="73" spans="1:13" ht="15.75" customHeight="1" x14ac:dyDescent="0.2">
      <c r="A73" s="1" t="s">
        <v>13</v>
      </c>
      <c r="B73" s="1" t="s">
        <v>14</v>
      </c>
      <c r="C73" s="1" t="s">
        <v>29</v>
      </c>
      <c r="D73" s="15" t="s">
        <v>102</v>
      </c>
      <c r="H73" s="1" t="s">
        <v>69</v>
      </c>
      <c r="I73" s="1" t="s">
        <v>36</v>
      </c>
      <c r="J73" s="1">
        <v>2</v>
      </c>
      <c r="K73" s="1" t="s">
        <v>18</v>
      </c>
      <c r="L73" s="1" t="s">
        <v>19</v>
      </c>
      <c r="M73" s="1" t="s">
        <v>28</v>
      </c>
    </row>
    <row r="74" spans="1:13" ht="15.75" customHeight="1" x14ac:dyDescent="0.2">
      <c r="A74" s="1" t="s">
        <v>13</v>
      </c>
      <c r="B74" s="1" t="s">
        <v>14</v>
      </c>
      <c r="C74" s="1" t="s">
        <v>41</v>
      </c>
      <c r="D74" s="15" t="s">
        <v>103</v>
      </c>
      <c r="E74" s="1" t="s">
        <v>42</v>
      </c>
      <c r="F74" s="1" t="s">
        <v>23</v>
      </c>
      <c r="G74" s="1" t="s">
        <v>43</v>
      </c>
      <c r="I74" s="1" t="s">
        <v>36</v>
      </c>
      <c r="J74" s="1">
        <v>1</v>
      </c>
      <c r="K74" s="1" t="s">
        <v>18</v>
      </c>
      <c r="L74" s="1" t="s">
        <v>19</v>
      </c>
      <c r="M74" s="1" t="s">
        <v>56</v>
      </c>
    </row>
    <row r="75" spans="1:13" ht="15.75" customHeight="1" x14ac:dyDescent="0.2">
      <c r="A75" s="1" t="s">
        <v>33</v>
      </c>
      <c r="B75" s="1" t="s">
        <v>21</v>
      </c>
      <c r="C75" s="1" t="s">
        <v>29</v>
      </c>
      <c r="D75" s="15" t="s">
        <v>102</v>
      </c>
      <c r="H75" s="1" t="s">
        <v>69</v>
      </c>
      <c r="I75" s="1" t="s">
        <v>36</v>
      </c>
      <c r="J75" s="1">
        <v>1</v>
      </c>
      <c r="K75" s="1" t="s">
        <v>54</v>
      </c>
      <c r="L75" s="1" t="s">
        <v>46</v>
      </c>
      <c r="M75" s="1" t="s">
        <v>40</v>
      </c>
    </row>
    <row r="76" spans="1:13" ht="15.75" customHeight="1" x14ac:dyDescent="0.2">
      <c r="A76" s="1" t="s">
        <v>13</v>
      </c>
      <c r="B76" s="1" t="s">
        <v>14</v>
      </c>
      <c r="C76" s="1" t="s">
        <v>41</v>
      </c>
      <c r="D76" s="15" t="s">
        <v>103</v>
      </c>
      <c r="E76" s="15" t="s">
        <v>108</v>
      </c>
      <c r="F76" s="1" t="s">
        <v>23</v>
      </c>
      <c r="G76" s="1" t="s">
        <v>43</v>
      </c>
      <c r="I76" s="1" t="s">
        <v>36</v>
      </c>
      <c r="J76" s="1">
        <v>2</v>
      </c>
      <c r="K76" s="1" t="s">
        <v>18</v>
      </c>
      <c r="L76" s="1" t="s">
        <v>19</v>
      </c>
      <c r="M76" s="1" t="s">
        <v>28</v>
      </c>
    </row>
    <row r="77" spans="1:13" ht="15.75" customHeight="1" x14ac:dyDescent="0.2">
      <c r="A77" s="1" t="s">
        <v>13</v>
      </c>
      <c r="B77" s="1" t="s">
        <v>14</v>
      </c>
      <c r="C77" s="1" t="s">
        <v>29</v>
      </c>
      <c r="D77" s="15" t="s">
        <v>103</v>
      </c>
      <c r="E77" s="1" t="s">
        <v>42</v>
      </c>
      <c r="F77" s="1" t="s">
        <v>16</v>
      </c>
      <c r="G77" s="1" t="s">
        <v>24</v>
      </c>
      <c r="I77" s="1" t="s">
        <v>36</v>
      </c>
      <c r="J77" s="1">
        <v>1</v>
      </c>
      <c r="K77" s="1" t="s">
        <v>51</v>
      </c>
      <c r="L77" s="1" t="s">
        <v>52</v>
      </c>
      <c r="M77" s="1" t="s">
        <v>20</v>
      </c>
    </row>
    <row r="78" spans="1:13" ht="15.75" customHeight="1" x14ac:dyDescent="0.2">
      <c r="A78" s="1" t="s">
        <v>13</v>
      </c>
      <c r="B78" s="1" t="s">
        <v>14</v>
      </c>
      <c r="C78" s="1" t="s">
        <v>59</v>
      </c>
      <c r="D78" s="15" t="s">
        <v>104</v>
      </c>
      <c r="E78" s="1" t="s">
        <v>60</v>
      </c>
      <c r="F78" s="1" t="s">
        <v>61</v>
      </c>
      <c r="G78" s="1" t="s">
        <v>24</v>
      </c>
      <c r="I78" s="1" t="s">
        <v>36</v>
      </c>
      <c r="J78" s="1">
        <v>2</v>
      </c>
      <c r="K78" s="1" t="s">
        <v>18</v>
      </c>
      <c r="L78" s="1" t="s">
        <v>27</v>
      </c>
      <c r="M78" s="1" t="s">
        <v>32</v>
      </c>
    </row>
    <row r="79" spans="1:13" ht="15.75" customHeight="1" x14ac:dyDescent="0.2">
      <c r="A79" s="1" t="s">
        <v>13</v>
      </c>
      <c r="B79" s="1" t="s">
        <v>34</v>
      </c>
      <c r="C79" s="1" t="s">
        <v>41</v>
      </c>
      <c r="D79" s="15" t="s">
        <v>102</v>
      </c>
      <c r="H79" s="1" t="s">
        <v>70</v>
      </c>
      <c r="I79" s="1" t="s">
        <v>36</v>
      </c>
      <c r="J79" s="1">
        <v>2</v>
      </c>
      <c r="K79" s="1" t="s">
        <v>18</v>
      </c>
      <c r="L79" s="1" t="s">
        <v>19</v>
      </c>
      <c r="M79" s="1" t="s">
        <v>40</v>
      </c>
    </row>
    <row r="80" spans="1:13" ht="15.75" customHeight="1" x14ac:dyDescent="0.2">
      <c r="A80" s="1" t="s">
        <v>33</v>
      </c>
      <c r="B80" s="1" t="s">
        <v>34</v>
      </c>
      <c r="C80" s="1" t="s">
        <v>29</v>
      </c>
      <c r="D80" s="15" t="s">
        <v>103</v>
      </c>
      <c r="E80" s="15" t="s">
        <v>108</v>
      </c>
      <c r="F80" s="1" t="s">
        <v>23</v>
      </c>
      <c r="G80" s="1" t="s">
        <v>43</v>
      </c>
      <c r="I80" s="1" t="s">
        <v>36</v>
      </c>
      <c r="J80" s="1">
        <v>2</v>
      </c>
      <c r="K80" s="1" t="s">
        <v>18</v>
      </c>
      <c r="L80" s="1" t="s">
        <v>19</v>
      </c>
      <c r="M80" s="1" t="s">
        <v>28</v>
      </c>
    </row>
    <row r="81" spans="1:13" ht="15.75" customHeight="1" x14ac:dyDescent="0.2">
      <c r="A81" s="1" t="s">
        <v>13</v>
      </c>
      <c r="B81" s="1" t="s">
        <v>34</v>
      </c>
      <c r="C81" s="1" t="s">
        <v>41</v>
      </c>
      <c r="D81" s="15" t="s">
        <v>102</v>
      </c>
      <c r="H81" s="1" t="s">
        <v>67</v>
      </c>
      <c r="I81" s="1" t="s">
        <v>36</v>
      </c>
      <c r="J81" s="1">
        <v>3</v>
      </c>
      <c r="K81" s="1" t="s">
        <v>18</v>
      </c>
      <c r="L81" s="1" t="s">
        <v>19</v>
      </c>
      <c r="M81" s="1" t="s">
        <v>28</v>
      </c>
    </row>
    <row r="82" spans="1:13" ht="15.75" customHeight="1" x14ac:dyDescent="0.2">
      <c r="A82" s="1" t="s">
        <v>13</v>
      </c>
      <c r="B82" s="1" t="s">
        <v>34</v>
      </c>
      <c r="C82" s="1" t="s">
        <v>41</v>
      </c>
      <c r="D82" s="15" t="s">
        <v>103</v>
      </c>
      <c r="E82" s="1" t="s">
        <v>42</v>
      </c>
      <c r="F82" s="1" t="s">
        <v>16</v>
      </c>
      <c r="G82" s="1" t="s">
        <v>24</v>
      </c>
      <c r="I82" s="1" t="s">
        <v>36</v>
      </c>
      <c r="J82" s="1">
        <v>1</v>
      </c>
      <c r="K82" s="1" t="s">
        <v>18</v>
      </c>
      <c r="L82" s="1" t="s">
        <v>19</v>
      </c>
      <c r="M82" s="1" t="s">
        <v>56</v>
      </c>
    </row>
    <row r="83" spans="1:13" ht="15.75" customHeight="1" x14ac:dyDescent="0.2">
      <c r="A83" s="1" t="s">
        <v>13</v>
      </c>
      <c r="B83" s="1" t="s">
        <v>14</v>
      </c>
      <c r="C83" s="1" t="s">
        <v>29</v>
      </c>
      <c r="D83" s="15" t="s">
        <v>102</v>
      </c>
      <c r="H83" s="1" t="s">
        <v>69</v>
      </c>
      <c r="I83" s="1" t="s">
        <v>36</v>
      </c>
      <c r="J83" s="1">
        <v>2</v>
      </c>
      <c r="K83" s="1" t="s">
        <v>18</v>
      </c>
      <c r="L83" s="1" t="s">
        <v>19</v>
      </c>
      <c r="M83" s="1" t="s">
        <v>56</v>
      </c>
    </row>
    <row r="84" spans="1:13" ht="15.75" customHeight="1" x14ac:dyDescent="0.2">
      <c r="A84" s="1" t="s">
        <v>13</v>
      </c>
      <c r="B84" s="1" t="s">
        <v>14</v>
      </c>
      <c r="C84" s="1" t="s">
        <v>41</v>
      </c>
      <c r="D84" s="15" t="s">
        <v>103</v>
      </c>
      <c r="E84" s="1" t="s">
        <v>42</v>
      </c>
      <c r="F84" s="1" t="s">
        <v>16</v>
      </c>
      <c r="G84" s="1" t="s">
        <v>30</v>
      </c>
      <c r="I84" s="1" t="s">
        <v>36</v>
      </c>
      <c r="J84" s="1">
        <v>1</v>
      </c>
      <c r="K84" s="1" t="s">
        <v>18</v>
      </c>
      <c r="L84" s="1" t="s">
        <v>19</v>
      </c>
      <c r="M84" s="1" t="s">
        <v>40</v>
      </c>
    </row>
    <row r="85" spans="1:13" ht="15.75" customHeight="1" x14ac:dyDescent="0.2">
      <c r="A85" s="1" t="s">
        <v>13</v>
      </c>
      <c r="B85" s="1" t="s">
        <v>21</v>
      </c>
      <c r="C85" s="1" t="s">
        <v>29</v>
      </c>
      <c r="D85" s="15" t="s">
        <v>102</v>
      </c>
      <c r="H85" s="1" t="s">
        <v>71</v>
      </c>
      <c r="I85" s="1" t="s">
        <v>36</v>
      </c>
      <c r="J85" s="1">
        <v>2</v>
      </c>
      <c r="K85" s="1" t="s">
        <v>18</v>
      </c>
      <c r="L85" s="1" t="s">
        <v>19</v>
      </c>
      <c r="M85" s="1" t="s">
        <v>56</v>
      </c>
    </row>
    <row r="86" spans="1:13" ht="15.75" customHeight="1" x14ac:dyDescent="0.2">
      <c r="A86" s="1" t="s">
        <v>13</v>
      </c>
      <c r="B86" s="1" t="s">
        <v>14</v>
      </c>
      <c r="C86" s="1" t="s">
        <v>41</v>
      </c>
      <c r="D86" s="15" t="s">
        <v>103</v>
      </c>
      <c r="E86" s="1" t="s">
        <v>42</v>
      </c>
      <c r="F86" s="1" t="s">
        <v>16</v>
      </c>
      <c r="G86" s="1" t="s">
        <v>72</v>
      </c>
      <c r="I86" s="1" t="s">
        <v>36</v>
      </c>
      <c r="J86" s="1">
        <v>1</v>
      </c>
      <c r="K86" s="1" t="s">
        <v>18</v>
      </c>
      <c r="L86" s="1" t="s">
        <v>19</v>
      </c>
      <c r="M86" s="1" t="s">
        <v>40</v>
      </c>
    </row>
    <row r="87" spans="1:13" ht="15.75" customHeight="1" x14ac:dyDescent="0.2">
      <c r="A87" s="1" t="s">
        <v>13</v>
      </c>
      <c r="B87" s="1" t="s">
        <v>14</v>
      </c>
      <c r="C87" s="1" t="s">
        <v>59</v>
      </c>
      <c r="D87" s="15" t="s">
        <v>103</v>
      </c>
      <c r="E87" s="15" t="s">
        <v>108</v>
      </c>
      <c r="F87" s="1" t="s">
        <v>16</v>
      </c>
      <c r="G87" s="1" t="s">
        <v>24</v>
      </c>
      <c r="I87" s="1" t="s">
        <v>36</v>
      </c>
      <c r="J87" s="1">
        <v>2</v>
      </c>
      <c r="K87" s="1" t="s">
        <v>18</v>
      </c>
      <c r="L87" s="1" t="s">
        <v>19</v>
      </c>
      <c r="M87" s="1" t="s">
        <v>28</v>
      </c>
    </row>
    <row r="88" spans="1:13" ht="15.75" customHeight="1" x14ac:dyDescent="0.2">
      <c r="A88" s="1" t="s">
        <v>13</v>
      </c>
      <c r="B88" s="1" t="s">
        <v>14</v>
      </c>
      <c r="C88" s="1" t="s">
        <v>41</v>
      </c>
      <c r="D88" s="15" t="s">
        <v>102</v>
      </c>
      <c r="H88" s="1" t="s">
        <v>70</v>
      </c>
      <c r="I88" s="1" t="s">
        <v>36</v>
      </c>
      <c r="J88" s="1">
        <v>3</v>
      </c>
      <c r="K88" s="1" t="s">
        <v>18</v>
      </c>
      <c r="L88" s="1" t="s">
        <v>19</v>
      </c>
      <c r="M88" s="1" t="s">
        <v>40</v>
      </c>
    </row>
    <row r="89" spans="1:13" ht="15.75" customHeight="1" x14ac:dyDescent="0.2">
      <c r="A89" s="1" t="s">
        <v>33</v>
      </c>
      <c r="B89" s="1" t="s">
        <v>34</v>
      </c>
      <c r="C89" s="1" t="s">
        <v>29</v>
      </c>
      <c r="D89" s="15" t="s">
        <v>102</v>
      </c>
      <c r="H89" s="1" t="s">
        <v>70</v>
      </c>
      <c r="I89" s="1" t="s">
        <v>36</v>
      </c>
      <c r="J89" s="1">
        <v>1</v>
      </c>
      <c r="K89" s="1" t="s">
        <v>18</v>
      </c>
      <c r="L89" s="1" t="s">
        <v>46</v>
      </c>
      <c r="M89" s="1" t="s">
        <v>58</v>
      </c>
    </row>
    <row r="90" spans="1:13" ht="15.75" customHeight="1" x14ac:dyDescent="0.2">
      <c r="A90" s="1" t="s">
        <v>13</v>
      </c>
      <c r="B90" s="1" t="s">
        <v>14</v>
      </c>
      <c r="C90" s="1" t="s">
        <v>41</v>
      </c>
      <c r="D90" s="15" t="s">
        <v>102</v>
      </c>
      <c r="H90" s="1" t="s">
        <v>69</v>
      </c>
      <c r="I90" s="1" t="s">
        <v>36</v>
      </c>
      <c r="J90" s="1">
        <v>2</v>
      </c>
      <c r="K90" s="1" t="s">
        <v>18</v>
      </c>
      <c r="L90" s="1" t="s">
        <v>19</v>
      </c>
      <c r="M90" s="1" t="s">
        <v>20</v>
      </c>
    </row>
    <row r="91" spans="1:13" ht="15.75" customHeight="1" x14ac:dyDescent="0.2">
      <c r="A91" s="1" t="s">
        <v>13</v>
      </c>
      <c r="B91" s="1" t="s">
        <v>14</v>
      </c>
      <c r="C91" s="1" t="s">
        <v>41</v>
      </c>
      <c r="D91" s="15" t="s">
        <v>104</v>
      </c>
      <c r="E91" s="1" t="s">
        <v>42</v>
      </c>
      <c r="F91" s="1" t="s">
        <v>16</v>
      </c>
      <c r="G91" s="1" t="s">
        <v>24</v>
      </c>
      <c r="I91" s="1" t="s">
        <v>36</v>
      </c>
      <c r="J91" s="1">
        <v>1</v>
      </c>
      <c r="K91" s="1" t="s">
        <v>54</v>
      </c>
      <c r="L91" s="1" t="s">
        <v>46</v>
      </c>
      <c r="M91" s="1" t="s">
        <v>20</v>
      </c>
    </row>
    <row r="92" spans="1:13" ht="15.75" customHeight="1" x14ac:dyDescent="0.2">
      <c r="A92" s="1" t="s">
        <v>33</v>
      </c>
      <c r="B92" s="1" t="s">
        <v>34</v>
      </c>
      <c r="C92" s="1" t="s">
        <v>29</v>
      </c>
      <c r="D92" s="15" t="s">
        <v>102</v>
      </c>
      <c r="H92" s="1" t="s">
        <v>70</v>
      </c>
      <c r="I92" s="1" t="s">
        <v>36</v>
      </c>
      <c r="J92" s="1">
        <v>2</v>
      </c>
      <c r="K92" s="1" t="s">
        <v>18</v>
      </c>
      <c r="L92" s="1" t="s">
        <v>19</v>
      </c>
      <c r="M92" s="1" t="s">
        <v>28</v>
      </c>
    </row>
    <row r="93" spans="1:13" ht="15.75" customHeight="1" x14ac:dyDescent="0.2">
      <c r="A93" s="1" t="s">
        <v>33</v>
      </c>
      <c r="B93" s="1" t="s">
        <v>34</v>
      </c>
      <c r="C93" s="1" t="s">
        <v>41</v>
      </c>
      <c r="D93" s="15" t="s">
        <v>103</v>
      </c>
      <c r="E93" s="15" t="s">
        <v>108</v>
      </c>
      <c r="F93" s="1" t="s">
        <v>23</v>
      </c>
      <c r="G93" s="1" t="s">
        <v>43</v>
      </c>
      <c r="I93" s="1" t="s">
        <v>36</v>
      </c>
      <c r="J93" s="1">
        <v>1</v>
      </c>
      <c r="K93" s="1" t="s">
        <v>18</v>
      </c>
      <c r="L93" s="1" t="s">
        <v>19</v>
      </c>
      <c r="M93" s="1" t="s">
        <v>40</v>
      </c>
    </row>
    <row r="94" spans="1:13" ht="15.75" customHeight="1" x14ac:dyDescent="0.2">
      <c r="A94" s="1" t="s">
        <v>13</v>
      </c>
      <c r="B94" s="1" t="s">
        <v>14</v>
      </c>
      <c r="C94" s="1" t="s">
        <v>29</v>
      </c>
      <c r="D94" s="15" t="s">
        <v>102</v>
      </c>
      <c r="H94" s="1" t="s">
        <v>69</v>
      </c>
      <c r="I94" s="1" t="s">
        <v>36</v>
      </c>
      <c r="J94" s="1">
        <v>2</v>
      </c>
      <c r="K94" s="1" t="s">
        <v>64</v>
      </c>
      <c r="L94" s="1" t="s">
        <v>46</v>
      </c>
      <c r="M94" s="1" t="s">
        <v>28</v>
      </c>
    </row>
    <row r="95" spans="1:13" ht="15.75" customHeight="1" x14ac:dyDescent="0.2">
      <c r="A95" s="1" t="s">
        <v>13</v>
      </c>
      <c r="B95" s="1" t="s">
        <v>14</v>
      </c>
      <c r="C95" s="1" t="s">
        <v>29</v>
      </c>
      <c r="D95" s="15" t="s">
        <v>103</v>
      </c>
      <c r="E95" s="15" t="s">
        <v>108</v>
      </c>
      <c r="F95" s="1" t="s">
        <v>16</v>
      </c>
      <c r="G95" s="1" t="s">
        <v>30</v>
      </c>
      <c r="I95" s="1" t="s">
        <v>36</v>
      </c>
      <c r="J95" s="1">
        <v>2</v>
      </c>
      <c r="K95" s="1" t="s">
        <v>18</v>
      </c>
      <c r="L95" s="1" t="s">
        <v>19</v>
      </c>
      <c r="M95" s="1" t="s">
        <v>56</v>
      </c>
    </row>
    <row r="96" spans="1:13" ht="15.75" customHeight="1" x14ac:dyDescent="0.2">
      <c r="A96" s="1" t="s">
        <v>13</v>
      </c>
      <c r="B96" s="1" t="s">
        <v>34</v>
      </c>
      <c r="C96" s="1" t="s">
        <v>41</v>
      </c>
      <c r="D96" s="15" t="s">
        <v>102</v>
      </c>
      <c r="H96" s="1" t="s">
        <v>73</v>
      </c>
      <c r="I96" s="1" t="s">
        <v>36</v>
      </c>
      <c r="J96" s="1">
        <v>2</v>
      </c>
      <c r="K96" s="1" t="s">
        <v>18</v>
      </c>
      <c r="L96" s="1" t="s">
        <v>27</v>
      </c>
      <c r="M96" s="1" t="s">
        <v>40</v>
      </c>
    </row>
    <row r="97" spans="1:13" ht="15.75" customHeight="1" x14ac:dyDescent="0.2">
      <c r="A97" s="1" t="s">
        <v>33</v>
      </c>
      <c r="B97" s="1" t="s">
        <v>21</v>
      </c>
      <c r="C97" s="1" t="s">
        <v>29</v>
      </c>
      <c r="D97" s="15" t="s">
        <v>102</v>
      </c>
      <c r="H97" s="1" t="s">
        <v>69</v>
      </c>
      <c r="I97" s="1" t="s">
        <v>36</v>
      </c>
      <c r="J97" s="1">
        <v>1</v>
      </c>
      <c r="K97" s="1" t="s">
        <v>18</v>
      </c>
      <c r="L97" s="1" t="s">
        <v>19</v>
      </c>
      <c r="M97" s="1" t="s">
        <v>56</v>
      </c>
    </row>
    <row r="98" spans="1:13" ht="15.75" customHeight="1" x14ac:dyDescent="0.2">
      <c r="A98" s="1" t="s">
        <v>33</v>
      </c>
      <c r="B98" s="1" t="s">
        <v>34</v>
      </c>
      <c r="C98" s="1" t="s">
        <v>29</v>
      </c>
      <c r="D98" s="15" t="s">
        <v>103</v>
      </c>
      <c r="E98" s="15" t="s">
        <v>108</v>
      </c>
      <c r="F98" s="1" t="s">
        <v>23</v>
      </c>
      <c r="G98" s="1" t="s">
        <v>43</v>
      </c>
      <c r="I98" s="1" t="s">
        <v>36</v>
      </c>
      <c r="J98" s="1">
        <v>2</v>
      </c>
      <c r="K98" s="1" t="s">
        <v>18</v>
      </c>
      <c r="L98" s="1" t="s">
        <v>19</v>
      </c>
      <c r="M98" s="1" t="s">
        <v>28</v>
      </c>
    </row>
    <row r="99" spans="1:13" ht="15.75" customHeight="1" x14ac:dyDescent="0.2">
      <c r="A99" s="1" t="s">
        <v>13</v>
      </c>
      <c r="B99" s="1" t="s">
        <v>14</v>
      </c>
      <c r="C99" s="1" t="s">
        <v>41</v>
      </c>
      <c r="D99" s="15" t="s">
        <v>102</v>
      </c>
      <c r="H99" s="1" t="s">
        <v>70</v>
      </c>
      <c r="I99" s="1" t="s">
        <v>36</v>
      </c>
      <c r="J99" s="1">
        <v>3</v>
      </c>
      <c r="K99" s="1" t="s">
        <v>18</v>
      </c>
      <c r="L99" s="1" t="s">
        <v>27</v>
      </c>
      <c r="M99" s="1" t="s">
        <v>28</v>
      </c>
    </row>
    <row r="100" spans="1:13" ht="15.75" customHeight="1" x14ac:dyDescent="0.2">
      <c r="A100" s="1" t="s">
        <v>33</v>
      </c>
      <c r="B100" s="1" t="s">
        <v>34</v>
      </c>
      <c r="C100" s="1" t="s">
        <v>41</v>
      </c>
      <c r="D100" s="15" t="s">
        <v>103</v>
      </c>
      <c r="E100" s="15" t="s">
        <v>108</v>
      </c>
      <c r="F100" s="1" t="s">
        <v>23</v>
      </c>
      <c r="G100" s="1" t="s">
        <v>43</v>
      </c>
      <c r="I100" s="1" t="s">
        <v>36</v>
      </c>
      <c r="J100" s="1">
        <v>2</v>
      </c>
      <c r="K100" s="1" t="s">
        <v>18</v>
      </c>
      <c r="L100" s="1" t="s">
        <v>19</v>
      </c>
      <c r="M100" s="1" t="s">
        <v>20</v>
      </c>
    </row>
    <row r="101" spans="1:13" ht="15.75" customHeight="1" x14ac:dyDescent="0.2">
      <c r="A101" s="1" t="s">
        <v>13</v>
      </c>
      <c r="B101" s="1" t="s">
        <v>14</v>
      </c>
      <c r="C101" s="1" t="s">
        <v>41</v>
      </c>
      <c r="D101" s="15" t="s">
        <v>103</v>
      </c>
      <c r="E101" s="15" t="s">
        <v>108</v>
      </c>
      <c r="F101" s="1" t="s">
        <v>23</v>
      </c>
      <c r="G101" s="1" t="s">
        <v>72</v>
      </c>
      <c r="I101" s="1" t="s">
        <v>36</v>
      </c>
      <c r="J101" s="1">
        <v>2</v>
      </c>
      <c r="K101" s="1" t="s">
        <v>18</v>
      </c>
      <c r="L101" s="1" t="s">
        <v>19</v>
      </c>
      <c r="M101" s="1" t="s">
        <v>56</v>
      </c>
    </row>
    <row r="102" spans="1:13" ht="15.75" customHeight="1" x14ac:dyDescent="0.2">
      <c r="A102" s="1" t="s">
        <v>13</v>
      </c>
      <c r="B102" s="1" t="s">
        <v>14</v>
      </c>
      <c r="C102" s="1" t="s">
        <v>29</v>
      </c>
      <c r="D102" s="15" t="s">
        <v>103</v>
      </c>
      <c r="E102" s="15" t="s">
        <v>108</v>
      </c>
      <c r="F102" s="1" t="s">
        <v>23</v>
      </c>
      <c r="G102" s="1" t="s">
        <v>43</v>
      </c>
      <c r="I102" s="1" t="s">
        <v>36</v>
      </c>
      <c r="J102" s="1">
        <v>2</v>
      </c>
      <c r="K102" s="1" t="s">
        <v>18</v>
      </c>
      <c r="L102" s="1" t="s">
        <v>19</v>
      </c>
      <c r="M102" s="1" t="s">
        <v>40</v>
      </c>
    </row>
    <row r="103" spans="1:13" ht="15.75" customHeight="1" x14ac:dyDescent="0.2">
      <c r="A103" s="1" t="s">
        <v>33</v>
      </c>
      <c r="B103" s="1" t="s">
        <v>21</v>
      </c>
      <c r="C103" s="1" t="s">
        <v>15</v>
      </c>
      <c r="D103" s="15" t="s">
        <v>102</v>
      </c>
      <c r="H103" s="1" t="s">
        <v>69</v>
      </c>
      <c r="I103" s="1" t="s">
        <v>36</v>
      </c>
      <c r="J103" s="1">
        <v>2</v>
      </c>
      <c r="K103" s="1" t="s">
        <v>54</v>
      </c>
      <c r="L103" s="1" t="s">
        <v>46</v>
      </c>
      <c r="M103" s="1" t="s">
        <v>20</v>
      </c>
    </row>
    <row r="104" spans="1:13" ht="15.75" customHeight="1" x14ac:dyDescent="0.2">
      <c r="A104" s="1" t="s">
        <v>13</v>
      </c>
      <c r="B104" s="1" t="s">
        <v>14</v>
      </c>
      <c r="C104" s="1" t="s">
        <v>29</v>
      </c>
      <c r="D104" s="15" t="s">
        <v>103</v>
      </c>
      <c r="E104" s="1" t="s">
        <v>42</v>
      </c>
      <c r="F104" s="1" t="s">
        <v>23</v>
      </c>
      <c r="G104" s="1" t="s">
        <v>43</v>
      </c>
      <c r="I104" s="1" t="s">
        <v>36</v>
      </c>
      <c r="J104" s="1">
        <v>1</v>
      </c>
      <c r="K104" s="1" t="s">
        <v>18</v>
      </c>
      <c r="L104" s="1" t="s">
        <v>19</v>
      </c>
      <c r="M104" s="1" t="s">
        <v>40</v>
      </c>
    </row>
    <row r="105" spans="1:13" ht="15.75" customHeight="1" x14ac:dyDescent="0.2">
      <c r="A105" s="1" t="s">
        <v>33</v>
      </c>
      <c r="B105" s="1" t="s">
        <v>34</v>
      </c>
      <c r="C105" s="1" t="s">
        <v>15</v>
      </c>
      <c r="D105" s="15" t="s">
        <v>102</v>
      </c>
      <c r="H105" s="1" t="s">
        <v>50</v>
      </c>
      <c r="I105" s="1" t="s">
        <v>36</v>
      </c>
      <c r="J105" s="1">
        <v>2</v>
      </c>
      <c r="K105" s="1" t="s">
        <v>18</v>
      </c>
      <c r="L105" s="1" t="s">
        <v>19</v>
      </c>
      <c r="M105" s="1" t="s">
        <v>56</v>
      </c>
    </row>
    <row r="106" spans="1:13" ht="15.75" customHeight="1" x14ac:dyDescent="0.2">
      <c r="A106" s="1" t="s">
        <v>33</v>
      </c>
      <c r="B106" s="1" t="s">
        <v>21</v>
      </c>
      <c r="C106" s="1" t="s">
        <v>29</v>
      </c>
      <c r="D106" s="15" t="s">
        <v>102</v>
      </c>
      <c r="H106" s="1" t="s">
        <v>53</v>
      </c>
      <c r="I106" s="1" t="s">
        <v>36</v>
      </c>
      <c r="J106" s="1">
        <v>1</v>
      </c>
      <c r="K106" s="1" t="s">
        <v>18</v>
      </c>
      <c r="L106" s="1" t="s">
        <v>19</v>
      </c>
      <c r="M106" s="1" t="s">
        <v>56</v>
      </c>
    </row>
    <row r="107" spans="1:13" ht="15.75" customHeight="1" x14ac:dyDescent="0.2">
      <c r="A107" s="1" t="s">
        <v>33</v>
      </c>
      <c r="B107" s="1" t="s">
        <v>34</v>
      </c>
      <c r="C107" s="1" t="s">
        <v>29</v>
      </c>
      <c r="D107" s="15" t="s">
        <v>103</v>
      </c>
      <c r="E107" s="15" t="s">
        <v>108</v>
      </c>
      <c r="F107" s="1" t="s">
        <v>23</v>
      </c>
      <c r="G107" s="1" t="s">
        <v>43</v>
      </c>
      <c r="I107" s="1" t="s">
        <v>36</v>
      </c>
      <c r="J107" s="1">
        <v>2</v>
      </c>
      <c r="K107" s="1" t="s">
        <v>18</v>
      </c>
      <c r="L107" s="1" t="s">
        <v>27</v>
      </c>
      <c r="M107" s="1" t="s">
        <v>28</v>
      </c>
    </row>
    <row r="108" spans="1:13" ht="15.75" customHeight="1" x14ac:dyDescent="0.2">
      <c r="A108" s="1" t="s">
        <v>13</v>
      </c>
      <c r="B108" s="1" t="s">
        <v>34</v>
      </c>
      <c r="C108" s="1" t="s">
        <v>29</v>
      </c>
      <c r="D108" s="15" t="s">
        <v>102</v>
      </c>
      <c r="H108" s="1" t="s">
        <v>73</v>
      </c>
      <c r="I108" s="1" t="s">
        <v>36</v>
      </c>
      <c r="J108" s="1">
        <v>2</v>
      </c>
      <c r="K108" s="1" t="s">
        <v>18</v>
      </c>
      <c r="L108" s="1" t="s">
        <v>19</v>
      </c>
      <c r="M108" s="1" t="s">
        <v>28</v>
      </c>
    </row>
    <row r="109" spans="1:13" ht="15.75" customHeight="1" x14ac:dyDescent="0.2">
      <c r="A109" s="1" t="s">
        <v>13</v>
      </c>
      <c r="B109" s="1" t="s">
        <v>34</v>
      </c>
      <c r="C109" s="1" t="s">
        <v>41</v>
      </c>
      <c r="D109" s="15" t="s">
        <v>103</v>
      </c>
      <c r="E109" s="1" t="s">
        <v>42</v>
      </c>
      <c r="F109" s="1" t="s">
        <v>16</v>
      </c>
      <c r="G109" s="1" t="s">
        <v>30</v>
      </c>
      <c r="I109" s="1" t="s">
        <v>36</v>
      </c>
      <c r="J109" s="1">
        <v>1</v>
      </c>
      <c r="K109" s="1" t="s">
        <v>18</v>
      </c>
      <c r="L109" s="1" t="s">
        <v>19</v>
      </c>
      <c r="M109" s="1" t="s">
        <v>28</v>
      </c>
    </row>
    <row r="110" spans="1:13" ht="15.75" customHeight="1" x14ac:dyDescent="0.2">
      <c r="A110" s="1" t="s">
        <v>38</v>
      </c>
      <c r="B110" s="1" t="s">
        <v>21</v>
      </c>
      <c r="C110" s="1" t="s">
        <v>15</v>
      </c>
      <c r="D110" s="15" t="s">
        <v>102</v>
      </c>
      <c r="H110" s="1" t="s">
        <v>71</v>
      </c>
      <c r="I110" s="1" t="s">
        <v>36</v>
      </c>
      <c r="J110" s="1">
        <v>3</v>
      </c>
      <c r="K110" s="1" t="s">
        <v>18</v>
      </c>
      <c r="L110" s="1" t="s">
        <v>46</v>
      </c>
      <c r="M110" s="1" t="s">
        <v>40</v>
      </c>
    </row>
    <row r="111" spans="1:13" ht="15.75" customHeight="1" x14ac:dyDescent="0.2">
      <c r="A111" s="1" t="s">
        <v>33</v>
      </c>
      <c r="B111" s="1" t="s">
        <v>34</v>
      </c>
      <c r="C111" s="1" t="s">
        <v>29</v>
      </c>
      <c r="D111" s="15" t="s">
        <v>103</v>
      </c>
      <c r="E111" s="15" t="s">
        <v>108</v>
      </c>
      <c r="F111" s="1" t="s">
        <v>23</v>
      </c>
      <c r="G111" s="1" t="s">
        <v>43</v>
      </c>
      <c r="I111" s="1" t="s">
        <v>36</v>
      </c>
      <c r="J111" s="1">
        <v>1</v>
      </c>
      <c r="K111" s="1" t="s">
        <v>18</v>
      </c>
      <c r="L111" s="1" t="s">
        <v>19</v>
      </c>
      <c r="M111" s="1" t="s">
        <v>20</v>
      </c>
    </row>
    <row r="112" spans="1:13" ht="15.75" customHeight="1" x14ac:dyDescent="0.2">
      <c r="A112" s="1" t="s">
        <v>13</v>
      </c>
      <c r="B112" s="1" t="s">
        <v>34</v>
      </c>
      <c r="C112" s="1" t="s">
        <v>41</v>
      </c>
      <c r="D112" s="15" t="s">
        <v>104</v>
      </c>
      <c r="E112" s="1" t="s">
        <v>60</v>
      </c>
      <c r="F112" s="1" t="s">
        <v>16</v>
      </c>
      <c r="G112" s="1" t="s">
        <v>24</v>
      </c>
      <c r="I112" s="1" t="s">
        <v>36</v>
      </c>
      <c r="J112" s="1">
        <v>2</v>
      </c>
      <c r="K112" s="1" t="s">
        <v>18</v>
      </c>
      <c r="L112" s="1" t="s">
        <v>27</v>
      </c>
      <c r="M112" s="1" t="s">
        <v>32</v>
      </c>
    </row>
    <row r="113" spans="1:13" ht="15.75" customHeight="1" x14ac:dyDescent="0.2">
      <c r="A113" s="1" t="s">
        <v>13</v>
      </c>
      <c r="B113" s="1" t="s">
        <v>14</v>
      </c>
      <c r="C113" s="1" t="s">
        <v>41</v>
      </c>
      <c r="D113" s="15" t="s">
        <v>103</v>
      </c>
      <c r="E113" s="1" t="s">
        <v>42</v>
      </c>
      <c r="F113" s="1" t="s">
        <v>23</v>
      </c>
      <c r="G113" s="1" t="s">
        <v>72</v>
      </c>
      <c r="I113" s="1" t="s">
        <v>36</v>
      </c>
      <c r="J113" s="1">
        <v>1</v>
      </c>
      <c r="K113" s="1" t="s">
        <v>54</v>
      </c>
      <c r="L113" s="1" t="s">
        <v>46</v>
      </c>
      <c r="M113" s="1" t="s">
        <v>20</v>
      </c>
    </row>
    <row r="114" spans="1:13" ht="15.75" customHeight="1" x14ac:dyDescent="0.2">
      <c r="A114" s="1" t="s">
        <v>13</v>
      </c>
      <c r="B114" s="1" t="s">
        <v>14</v>
      </c>
      <c r="C114" s="1" t="s">
        <v>41</v>
      </c>
      <c r="D114" s="15" t="s">
        <v>102</v>
      </c>
      <c r="H114" s="1" t="s">
        <v>74</v>
      </c>
      <c r="I114" s="1" t="s">
        <v>36</v>
      </c>
      <c r="J114" s="1">
        <v>1</v>
      </c>
      <c r="K114" s="1" t="s">
        <v>18</v>
      </c>
      <c r="L114" s="1" t="s">
        <v>19</v>
      </c>
      <c r="M114" s="1" t="s">
        <v>58</v>
      </c>
    </row>
    <row r="115" spans="1:13" ht="15.75" customHeight="1" x14ac:dyDescent="0.2">
      <c r="A115" s="1" t="s">
        <v>33</v>
      </c>
      <c r="B115" s="1" t="s">
        <v>34</v>
      </c>
      <c r="C115" s="1" t="s">
        <v>41</v>
      </c>
      <c r="D115" s="15" t="s">
        <v>103</v>
      </c>
      <c r="E115" s="1" t="s">
        <v>42</v>
      </c>
      <c r="F115" s="1" t="s">
        <v>23</v>
      </c>
      <c r="G115" s="1" t="s">
        <v>43</v>
      </c>
      <c r="I115" s="1" t="s">
        <v>36</v>
      </c>
      <c r="J115" s="1">
        <v>2</v>
      </c>
      <c r="K115" s="1" t="s">
        <v>18</v>
      </c>
      <c r="L115" s="1" t="s">
        <v>19</v>
      </c>
      <c r="M115" s="1" t="s">
        <v>28</v>
      </c>
    </row>
    <row r="116" spans="1:13" ht="15.75" customHeight="1" x14ac:dyDescent="0.2">
      <c r="A116" s="1" t="s">
        <v>13</v>
      </c>
      <c r="B116" s="1" t="s">
        <v>21</v>
      </c>
      <c r="C116" s="1" t="s">
        <v>29</v>
      </c>
      <c r="D116" s="15" t="s">
        <v>102</v>
      </c>
      <c r="H116" s="1" t="s">
        <v>63</v>
      </c>
      <c r="I116" s="1" t="s">
        <v>36</v>
      </c>
      <c r="J116" s="1">
        <v>1</v>
      </c>
      <c r="K116" s="1" t="s">
        <v>54</v>
      </c>
      <c r="L116" s="1" t="s">
        <v>46</v>
      </c>
      <c r="M116" s="1" t="s">
        <v>20</v>
      </c>
    </row>
    <row r="117" spans="1:13" ht="15.75" customHeight="1" x14ac:dyDescent="0.2">
      <c r="A117" s="1" t="s">
        <v>13</v>
      </c>
      <c r="B117" s="1" t="s">
        <v>14</v>
      </c>
      <c r="C117" s="1" t="s">
        <v>41</v>
      </c>
      <c r="D117" s="15" t="s">
        <v>103</v>
      </c>
      <c r="E117" s="1" t="s">
        <v>60</v>
      </c>
      <c r="F117" s="1" t="s">
        <v>23</v>
      </c>
      <c r="G117" s="1" t="s">
        <v>43</v>
      </c>
      <c r="I117" s="1" t="s">
        <v>36</v>
      </c>
      <c r="J117" s="1">
        <v>2</v>
      </c>
      <c r="K117" s="1" t="s">
        <v>18</v>
      </c>
      <c r="L117" s="1" t="s">
        <v>19</v>
      </c>
      <c r="M117" s="1" t="s">
        <v>20</v>
      </c>
    </row>
    <row r="118" spans="1:13" ht="15.75" customHeight="1" x14ac:dyDescent="0.2">
      <c r="A118" s="1" t="s">
        <v>13</v>
      </c>
      <c r="B118" s="1" t="s">
        <v>14</v>
      </c>
      <c r="C118" s="1" t="s">
        <v>29</v>
      </c>
      <c r="D118" s="15" t="s">
        <v>102</v>
      </c>
      <c r="H118" s="1" t="s">
        <v>75</v>
      </c>
      <c r="I118" s="1" t="s">
        <v>36</v>
      </c>
      <c r="J118" s="1">
        <v>1</v>
      </c>
      <c r="K118" s="1" t="s">
        <v>18</v>
      </c>
      <c r="L118" s="1" t="s">
        <v>46</v>
      </c>
      <c r="M118" s="1" t="s">
        <v>32</v>
      </c>
    </row>
    <row r="119" spans="1:13" ht="15.75" customHeight="1" x14ac:dyDescent="0.2">
      <c r="A119" s="1" t="s">
        <v>13</v>
      </c>
      <c r="B119" s="1" t="s">
        <v>34</v>
      </c>
      <c r="C119" s="1" t="s">
        <v>41</v>
      </c>
      <c r="D119" s="15" t="s">
        <v>102</v>
      </c>
      <c r="H119" s="1" t="s">
        <v>25</v>
      </c>
      <c r="I119" s="1" t="s">
        <v>36</v>
      </c>
      <c r="J119" s="1">
        <v>3</v>
      </c>
      <c r="K119" s="1" t="s">
        <v>18</v>
      </c>
      <c r="L119" s="1" t="s">
        <v>19</v>
      </c>
      <c r="M119" s="1" t="s">
        <v>40</v>
      </c>
    </row>
    <row r="120" spans="1:13" ht="15.75" customHeight="1" x14ac:dyDescent="0.2">
      <c r="A120" s="1" t="s">
        <v>13</v>
      </c>
      <c r="B120" s="1" t="s">
        <v>14</v>
      </c>
      <c r="C120" s="1" t="s">
        <v>41</v>
      </c>
      <c r="D120" s="15" t="s">
        <v>102</v>
      </c>
      <c r="H120" s="1" t="s">
        <v>76</v>
      </c>
      <c r="I120" s="1" t="s">
        <v>36</v>
      </c>
      <c r="J120" s="1">
        <v>1</v>
      </c>
      <c r="K120" s="1" t="s">
        <v>18</v>
      </c>
      <c r="L120" s="1" t="s">
        <v>19</v>
      </c>
      <c r="M120" s="1" t="s">
        <v>56</v>
      </c>
    </row>
    <row r="121" spans="1:13" ht="15.75" customHeight="1" x14ac:dyDescent="0.2">
      <c r="A121" s="1" t="s">
        <v>33</v>
      </c>
      <c r="B121" s="1" t="s">
        <v>21</v>
      </c>
      <c r="C121" s="1" t="s">
        <v>15</v>
      </c>
      <c r="D121" s="15" t="s">
        <v>102</v>
      </c>
      <c r="H121" s="1" t="s">
        <v>71</v>
      </c>
      <c r="I121" s="1" t="s">
        <v>36</v>
      </c>
      <c r="J121" s="1">
        <v>2</v>
      </c>
      <c r="K121" s="1" t="s">
        <v>54</v>
      </c>
      <c r="L121" s="1" t="s">
        <v>46</v>
      </c>
      <c r="M121" s="1" t="s">
        <v>20</v>
      </c>
    </row>
    <row r="122" spans="1:13" ht="15.75" customHeight="1" x14ac:dyDescent="0.2">
      <c r="A122" s="1" t="s">
        <v>13</v>
      </c>
      <c r="B122" s="1" t="s">
        <v>34</v>
      </c>
      <c r="C122" s="1" t="s">
        <v>41</v>
      </c>
      <c r="D122" s="15" t="s">
        <v>103</v>
      </c>
      <c r="E122" s="1" t="s">
        <v>42</v>
      </c>
      <c r="F122" s="1" t="s">
        <v>23</v>
      </c>
      <c r="G122" s="1" t="s">
        <v>43</v>
      </c>
      <c r="I122" s="1" t="s">
        <v>36</v>
      </c>
      <c r="J122" s="1">
        <v>1</v>
      </c>
      <c r="K122" s="1" t="s">
        <v>18</v>
      </c>
      <c r="L122" s="1" t="s">
        <v>19</v>
      </c>
      <c r="M122" s="1" t="s">
        <v>40</v>
      </c>
    </row>
    <row r="123" spans="1:13" ht="15.75" customHeight="1" x14ac:dyDescent="0.2">
      <c r="A123" s="1" t="s">
        <v>13</v>
      </c>
      <c r="B123" s="1" t="s">
        <v>14</v>
      </c>
      <c r="C123" s="1" t="s">
        <v>29</v>
      </c>
      <c r="D123" s="15" t="s">
        <v>103</v>
      </c>
      <c r="F123" s="1" t="s">
        <v>16</v>
      </c>
      <c r="I123" s="1" t="s">
        <v>36</v>
      </c>
      <c r="J123" s="1">
        <v>2</v>
      </c>
      <c r="K123" s="1" t="s">
        <v>18</v>
      </c>
      <c r="L123" s="1" t="s">
        <v>19</v>
      </c>
      <c r="M123" s="1" t="s">
        <v>40</v>
      </c>
    </row>
    <row r="124" spans="1:13" ht="15.75" customHeight="1" x14ac:dyDescent="0.2">
      <c r="A124" s="1" t="s">
        <v>13</v>
      </c>
      <c r="B124" s="1" t="s">
        <v>14</v>
      </c>
      <c r="C124" s="1" t="s">
        <v>29</v>
      </c>
      <c r="D124" s="15" t="s">
        <v>102</v>
      </c>
      <c r="H124" s="1" t="s">
        <v>77</v>
      </c>
      <c r="I124" s="1" t="s">
        <v>36</v>
      </c>
      <c r="J124" s="1">
        <v>2</v>
      </c>
      <c r="K124" s="1" t="s">
        <v>18</v>
      </c>
      <c r="L124" s="1" t="s">
        <v>46</v>
      </c>
      <c r="M124" s="1" t="s">
        <v>56</v>
      </c>
    </row>
    <row r="125" spans="1:13" ht="15.75" customHeight="1" x14ac:dyDescent="0.2">
      <c r="A125" s="1" t="s">
        <v>33</v>
      </c>
      <c r="B125" s="1" t="s">
        <v>21</v>
      </c>
      <c r="C125" s="1" t="s">
        <v>29</v>
      </c>
      <c r="D125" s="15" t="s">
        <v>102</v>
      </c>
      <c r="H125" s="1" t="s">
        <v>71</v>
      </c>
      <c r="I125" s="1" t="s">
        <v>36</v>
      </c>
      <c r="J125" s="1">
        <v>1</v>
      </c>
      <c r="K125" s="1" t="s">
        <v>18</v>
      </c>
      <c r="M125" s="1" t="s">
        <v>28</v>
      </c>
    </row>
    <row r="126" spans="1:13" ht="15.75" customHeight="1" x14ac:dyDescent="0.2">
      <c r="A126" s="1" t="s">
        <v>33</v>
      </c>
      <c r="B126" s="1" t="s">
        <v>34</v>
      </c>
      <c r="C126" s="1" t="s">
        <v>29</v>
      </c>
      <c r="D126" s="15" t="s">
        <v>103</v>
      </c>
      <c r="E126" s="15" t="s">
        <v>108</v>
      </c>
      <c r="F126" s="1" t="s">
        <v>23</v>
      </c>
      <c r="G126" s="1" t="s">
        <v>43</v>
      </c>
      <c r="I126" s="1" t="s">
        <v>36</v>
      </c>
      <c r="J126" s="1">
        <v>2</v>
      </c>
      <c r="K126" s="1" t="s">
        <v>18</v>
      </c>
      <c r="L126" s="1" t="s">
        <v>19</v>
      </c>
      <c r="M126" s="1" t="s">
        <v>28</v>
      </c>
    </row>
    <row r="127" spans="1:13" ht="15.75" customHeight="1" x14ac:dyDescent="0.2">
      <c r="A127" s="1" t="s">
        <v>33</v>
      </c>
      <c r="B127" s="1" t="s">
        <v>34</v>
      </c>
      <c r="C127" s="1" t="s">
        <v>29</v>
      </c>
      <c r="D127" s="15" t="s">
        <v>102</v>
      </c>
      <c r="H127" s="1" t="s">
        <v>77</v>
      </c>
      <c r="I127" s="1" t="s">
        <v>36</v>
      </c>
      <c r="J127" s="1">
        <v>1</v>
      </c>
      <c r="K127" s="1" t="s">
        <v>18</v>
      </c>
      <c r="L127" s="1" t="s">
        <v>19</v>
      </c>
      <c r="M127" s="1" t="s">
        <v>56</v>
      </c>
    </row>
    <row r="128" spans="1:13" ht="15.75" customHeight="1" x14ac:dyDescent="0.2">
      <c r="A128" s="1" t="s">
        <v>13</v>
      </c>
      <c r="B128" s="1" t="s">
        <v>14</v>
      </c>
      <c r="C128" s="1" t="s">
        <v>59</v>
      </c>
      <c r="D128" s="15" t="s">
        <v>103</v>
      </c>
      <c r="E128" s="1" t="s">
        <v>60</v>
      </c>
      <c r="F128" s="1" t="s">
        <v>16</v>
      </c>
      <c r="G128" s="1" t="s">
        <v>24</v>
      </c>
      <c r="I128" s="1" t="s">
        <v>36</v>
      </c>
      <c r="J128" s="1">
        <v>2</v>
      </c>
      <c r="K128" s="1" t="s">
        <v>18</v>
      </c>
      <c r="L128" s="1" t="s">
        <v>19</v>
      </c>
      <c r="M128" s="1" t="s">
        <v>55</v>
      </c>
    </row>
    <row r="129" spans="1:13" ht="15.75" customHeight="1" x14ac:dyDescent="0.2">
      <c r="A129" s="1" t="s">
        <v>33</v>
      </c>
      <c r="B129" s="1" t="s">
        <v>34</v>
      </c>
      <c r="C129" s="1" t="s">
        <v>29</v>
      </c>
      <c r="D129" s="15" t="s">
        <v>102</v>
      </c>
      <c r="H129" s="1" t="s">
        <v>78</v>
      </c>
      <c r="I129" s="1" t="s">
        <v>36</v>
      </c>
      <c r="J129" s="1">
        <v>1</v>
      </c>
      <c r="K129" s="1" t="s">
        <v>18</v>
      </c>
      <c r="L129" s="1" t="s">
        <v>19</v>
      </c>
      <c r="M129" s="1" t="s">
        <v>20</v>
      </c>
    </row>
    <row r="130" spans="1:13" ht="15.75" customHeight="1" x14ac:dyDescent="0.2">
      <c r="A130" s="1" t="s">
        <v>13</v>
      </c>
      <c r="B130" s="1" t="s">
        <v>34</v>
      </c>
      <c r="C130" s="1" t="s">
        <v>41</v>
      </c>
      <c r="D130" s="15" t="s">
        <v>103</v>
      </c>
      <c r="E130" s="1" t="s">
        <v>42</v>
      </c>
      <c r="F130" s="1" t="s">
        <v>23</v>
      </c>
      <c r="G130" s="1" t="s">
        <v>43</v>
      </c>
      <c r="I130" s="1" t="s">
        <v>36</v>
      </c>
      <c r="J130" s="1">
        <v>3</v>
      </c>
      <c r="K130" s="1" t="s">
        <v>18</v>
      </c>
      <c r="L130" s="1" t="s">
        <v>19</v>
      </c>
      <c r="M130" s="1" t="s">
        <v>55</v>
      </c>
    </row>
    <row r="131" spans="1:13" ht="15.75" customHeight="1" x14ac:dyDescent="0.2">
      <c r="A131" s="1" t="s">
        <v>13</v>
      </c>
      <c r="B131" s="1" t="s">
        <v>14</v>
      </c>
      <c r="C131" s="1" t="s">
        <v>41</v>
      </c>
      <c r="D131" s="15" t="s">
        <v>103</v>
      </c>
      <c r="E131" s="1" t="s">
        <v>60</v>
      </c>
      <c r="F131" s="1" t="s">
        <v>16</v>
      </c>
      <c r="G131" s="1" t="s">
        <v>24</v>
      </c>
      <c r="I131" s="1" t="s">
        <v>36</v>
      </c>
      <c r="J131" s="1">
        <v>2</v>
      </c>
      <c r="K131" s="1" t="s">
        <v>18</v>
      </c>
      <c r="L131" s="1" t="s">
        <v>19</v>
      </c>
      <c r="M131" s="1" t="s">
        <v>40</v>
      </c>
    </row>
    <row r="132" spans="1:13" ht="15.75" customHeight="1" x14ac:dyDescent="0.2">
      <c r="A132" s="1" t="s">
        <v>13</v>
      </c>
      <c r="B132" s="1" t="s">
        <v>34</v>
      </c>
      <c r="C132" s="1" t="s">
        <v>29</v>
      </c>
      <c r="D132" s="15" t="s">
        <v>103</v>
      </c>
      <c r="E132" s="1" t="s">
        <v>42</v>
      </c>
      <c r="F132" s="1" t="s">
        <v>16</v>
      </c>
      <c r="G132" s="1" t="s">
        <v>24</v>
      </c>
      <c r="I132" s="1" t="s">
        <v>36</v>
      </c>
      <c r="J132" s="1">
        <v>3</v>
      </c>
      <c r="K132" s="1" t="s">
        <v>18</v>
      </c>
      <c r="L132" s="1" t="s">
        <v>19</v>
      </c>
      <c r="M132" s="1" t="s">
        <v>28</v>
      </c>
    </row>
    <row r="133" spans="1:13" ht="15.75" customHeight="1" x14ac:dyDescent="0.2">
      <c r="A133" s="1" t="s">
        <v>33</v>
      </c>
      <c r="B133" s="1" t="s">
        <v>21</v>
      </c>
      <c r="C133" s="1" t="s">
        <v>15</v>
      </c>
      <c r="D133" s="15" t="s">
        <v>102</v>
      </c>
      <c r="H133" s="1" t="s">
        <v>71</v>
      </c>
      <c r="I133" s="1" t="s">
        <v>36</v>
      </c>
      <c r="J133" s="1">
        <v>4</v>
      </c>
      <c r="K133" s="1" t="s">
        <v>18</v>
      </c>
      <c r="L133" s="1" t="s">
        <v>19</v>
      </c>
      <c r="M133" s="1" t="s">
        <v>40</v>
      </c>
    </row>
    <row r="134" spans="1:13" ht="15.75" customHeight="1" x14ac:dyDescent="0.2">
      <c r="A134" s="1" t="s">
        <v>33</v>
      </c>
      <c r="B134" s="1" t="s">
        <v>21</v>
      </c>
      <c r="C134" s="1" t="s">
        <v>15</v>
      </c>
      <c r="D134" s="15" t="s">
        <v>102</v>
      </c>
      <c r="H134" s="1" t="s">
        <v>63</v>
      </c>
      <c r="I134" s="1" t="s">
        <v>36</v>
      </c>
      <c r="J134" s="1">
        <v>1</v>
      </c>
      <c r="K134" s="1" t="s">
        <v>18</v>
      </c>
      <c r="L134" s="1" t="s">
        <v>46</v>
      </c>
      <c r="M134" s="1" t="s">
        <v>58</v>
      </c>
    </row>
    <row r="135" spans="1:13" ht="15.75" customHeight="1" x14ac:dyDescent="0.2">
      <c r="A135" s="1" t="s">
        <v>13</v>
      </c>
      <c r="B135" s="1" t="s">
        <v>14</v>
      </c>
      <c r="C135" s="1" t="s">
        <v>41</v>
      </c>
      <c r="D135" s="15" t="s">
        <v>103</v>
      </c>
      <c r="E135" s="1" t="s">
        <v>42</v>
      </c>
      <c r="F135" s="1" t="s">
        <v>23</v>
      </c>
      <c r="G135" s="1" t="s">
        <v>43</v>
      </c>
      <c r="I135" s="1" t="s">
        <v>36</v>
      </c>
      <c r="J135" s="1">
        <v>2</v>
      </c>
      <c r="K135" s="1" t="s">
        <v>18</v>
      </c>
      <c r="L135" s="1" t="s">
        <v>46</v>
      </c>
      <c r="M135" s="1" t="s">
        <v>20</v>
      </c>
    </row>
    <row r="136" spans="1:13" ht="15.75" customHeight="1" x14ac:dyDescent="0.2">
      <c r="A136" s="1" t="s">
        <v>13</v>
      </c>
      <c r="B136" s="1" t="s">
        <v>14</v>
      </c>
      <c r="C136" s="1" t="s">
        <v>15</v>
      </c>
      <c r="D136" s="15" t="s">
        <v>102</v>
      </c>
      <c r="H136" s="1" t="s">
        <v>79</v>
      </c>
      <c r="I136" s="1" t="s">
        <v>36</v>
      </c>
      <c r="J136" s="1">
        <v>2</v>
      </c>
      <c r="K136" s="1" t="s">
        <v>18</v>
      </c>
      <c r="L136" s="1" t="s">
        <v>19</v>
      </c>
      <c r="M136" s="1" t="s">
        <v>56</v>
      </c>
    </row>
    <row r="137" spans="1:13" ht="15.75" customHeight="1" x14ac:dyDescent="0.2">
      <c r="A137" s="1" t="s">
        <v>13</v>
      </c>
      <c r="B137" s="1" t="s">
        <v>14</v>
      </c>
      <c r="C137" s="1" t="s">
        <v>29</v>
      </c>
      <c r="D137" s="15" t="s">
        <v>102</v>
      </c>
      <c r="H137" s="1" t="s">
        <v>74</v>
      </c>
      <c r="I137" s="1" t="s">
        <v>36</v>
      </c>
      <c r="J137" s="1">
        <v>2</v>
      </c>
      <c r="K137" s="1" t="s">
        <v>18</v>
      </c>
      <c r="L137" s="1" t="s">
        <v>19</v>
      </c>
      <c r="M137" s="1" t="s">
        <v>28</v>
      </c>
    </row>
    <row r="138" spans="1:13" ht="15.75" customHeight="1" x14ac:dyDescent="0.2">
      <c r="A138" s="1" t="s">
        <v>33</v>
      </c>
      <c r="B138" s="1" t="s">
        <v>34</v>
      </c>
      <c r="C138" s="1" t="s">
        <v>29</v>
      </c>
      <c r="D138" s="15" t="s">
        <v>102</v>
      </c>
      <c r="H138" s="1" t="s">
        <v>25</v>
      </c>
      <c r="I138" s="1" t="s">
        <v>36</v>
      </c>
      <c r="J138" s="1">
        <v>2</v>
      </c>
      <c r="K138" s="1" t="s">
        <v>18</v>
      </c>
      <c r="L138" s="1" t="s">
        <v>19</v>
      </c>
      <c r="M138" s="1" t="s">
        <v>40</v>
      </c>
    </row>
    <row r="139" spans="1:13" ht="15.75" customHeight="1" x14ac:dyDescent="0.2">
      <c r="A139" s="1" t="s">
        <v>38</v>
      </c>
      <c r="B139" s="1" t="s">
        <v>21</v>
      </c>
      <c r="C139" s="1" t="s">
        <v>15</v>
      </c>
      <c r="D139" s="15" t="s">
        <v>102</v>
      </c>
      <c r="H139" s="1" t="s">
        <v>71</v>
      </c>
      <c r="I139" s="1" t="s">
        <v>36</v>
      </c>
      <c r="J139" s="1">
        <v>2</v>
      </c>
      <c r="K139" s="1" t="s">
        <v>54</v>
      </c>
      <c r="L139" s="1" t="s">
        <v>46</v>
      </c>
      <c r="M139" s="1" t="s">
        <v>20</v>
      </c>
    </row>
    <row r="140" spans="1:13" ht="15.75" customHeight="1" x14ac:dyDescent="0.2">
      <c r="A140" s="1" t="s">
        <v>13</v>
      </c>
      <c r="B140" s="1" t="s">
        <v>14</v>
      </c>
      <c r="C140" s="1" t="s">
        <v>41</v>
      </c>
      <c r="D140" s="15" t="s">
        <v>104</v>
      </c>
      <c r="E140" s="1" t="s">
        <v>42</v>
      </c>
      <c r="F140" s="1" t="s">
        <v>16</v>
      </c>
      <c r="G140" s="1" t="s">
        <v>24</v>
      </c>
      <c r="I140" s="1" t="s">
        <v>36</v>
      </c>
      <c r="J140" s="1">
        <v>2</v>
      </c>
      <c r="K140" s="1" t="s">
        <v>18</v>
      </c>
      <c r="L140" s="1" t="s">
        <v>19</v>
      </c>
      <c r="M140" s="1" t="s">
        <v>56</v>
      </c>
    </row>
    <row r="141" spans="1:13" ht="15.75" customHeight="1" x14ac:dyDescent="0.2">
      <c r="A141" s="1" t="s">
        <v>33</v>
      </c>
      <c r="B141" s="1" t="s">
        <v>14</v>
      </c>
      <c r="C141" s="1" t="s">
        <v>41</v>
      </c>
      <c r="D141" s="15" t="s">
        <v>102</v>
      </c>
      <c r="H141" s="1" t="s">
        <v>77</v>
      </c>
      <c r="I141" s="1" t="s">
        <v>36</v>
      </c>
      <c r="J141" s="1">
        <v>2</v>
      </c>
      <c r="K141" s="1" t="s">
        <v>18</v>
      </c>
      <c r="L141" s="1" t="s">
        <v>19</v>
      </c>
    </row>
    <row r="142" spans="1:13" ht="15.75" customHeight="1" x14ac:dyDescent="0.2">
      <c r="A142" s="1" t="s">
        <v>13</v>
      </c>
      <c r="B142" s="1" t="s">
        <v>14</v>
      </c>
      <c r="C142" s="1" t="s">
        <v>41</v>
      </c>
      <c r="D142" s="15" t="s">
        <v>102</v>
      </c>
      <c r="H142" s="1" t="s">
        <v>75</v>
      </c>
      <c r="I142" s="1" t="s">
        <v>36</v>
      </c>
      <c r="J142" s="1">
        <v>2</v>
      </c>
      <c r="K142" s="1" t="s">
        <v>18</v>
      </c>
      <c r="L142" s="1" t="s">
        <v>19</v>
      </c>
      <c r="M142" s="1" t="s">
        <v>40</v>
      </c>
    </row>
    <row r="143" spans="1:13" ht="15.75" customHeight="1" x14ac:dyDescent="0.2">
      <c r="A143" s="1" t="s">
        <v>13</v>
      </c>
      <c r="B143" s="1" t="s">
        <v>14</v>
      </c>
      <c r="C143" s="1" t="s">
        <v>41</v>
      </c>
      <c r="D143" s="15" t="s">
        <v>104</v>
      </c>
      <c r="E143" s="1" t="s">
        <v>60</v>
      </c>
      <c r="F143" s="1" t="s">
        <v>23</v>
      </c>
      <c r="G143" s="1" t="s">
        <v>43</v>
      </c>
      <c r="I143" s="1" t="s">
        <v>36</v>
      </c>
      <c r="J143" s="1">
        <v>2</v>
      </c>
      <c r="K143" s="1" t="s">
        <v>18</v>
      </c>
      <c r="L143" s="1" t="s">
        <v>19</v>
      </c>
      <c r="M143" s="1" t="s">
        <v>32</v>
      </c>
    </row>
    <row r="144" spans="1:13" ht="15.75" customHeight="1" x14ac:dyDescent="0.2">
      <c r="A144" s="1" t="s">
        <v>13</v>
      </c>
      <c r="B144" s="1" t="s">
        <v>14</v>
      </c>
      <c r="C144" s="1" t="s">
        <v>41</v>
      </c>
      <c r="D144" s="15" t="s">
        <v>102</v>
      </c>
      <c r="H144" s="1" t="s">
        <v>77</v>
      </c>
      <c r="I144" s="1" t="s">
        <v>36</v>
      </c>
      <c r="J144" s="1">
        <v>2</v>
      </c>
      <c r="K144" s="1" t="s">
        <v>51</v>
      </c>
      <c r="M144" s="1" t="s">
        <v>20</v>
      </c>
    </row>
    <row r="145" spans="1:13" ht="15.75" customHeight="1" x14ac:dyDescent="0.2">
      <c r="A145" s="1" t="s">
        <v>13</v>
      </c>
      <c r="B145" s="1" t="s">
        <v>14</v>
      </c>
      <c r="C145" s="1" t="s">
        <v>41</v>
      </c>
      <c r="D145" s="15" t="s">
        <v>103</v>
      </c>
      <c r="E145" s="1" t="s">
        <v>42</v>
      </c>
      <c r="F145" s="1" t="s">
        <v>23</v>
      </c>
      <c r="G145" s="1" t="s">
        <v>72</v>
      </c>
      <c r="I145" s="1" t="s">
        <v>36</v>
      </c>
      <c r="J145" s="1">
        <v>3</v>
      </c>
      <c r="K145" s="1" t="s">
        <v>18</v>
      </c>
      <c r="L145" s="1" t="s">
        <v>19</v>
      </c>
      <c r="M145" s="1" t="s">
        <v>32</v>
      </c>
    </row>
    <row r="146" spans="1:13" ht="15.75" customHeight="1" x14ac:dyDescent="0.2">
      <c r="A146" s="1" t="s">
        <v>33</v>
      </c>
      <c r="B146" s="1" t="s">
        <v>34</v>
      </c>
      <c r="C146" s="1" t="s">
        <v>29</v>
      </c>
      <c r="D146" s="15" t="s">
        <v>102</v>
      </c>
      <c r="H146" s="1" t="s">
        <v>71</v>
      </c>
      <c r="I146" s="1" t="s">
        <v>36</v>
      </c>
      <c r="J146" s="1">
        <v>3</v>
      </c>
      <c r="K146" s="1" t="s">
        <v>51</v>
      </c>
      <c r="M146" s="1" t="s">
        <v>20</v>
      </c>
    </row>
    <row r="147" spans="1:13" ht="15.75" customHeight="1" x14ac:dyDescent="0.2">
      <c r="A147" s="1" t="s">
        <v>13</v>
      </c>
      <c r="B147" s="1" t="s">
        <v>34</v>
      </c>
      <c r="C147" s="1" t="s">
        <v>29</v>
      </c>
      <c r="D147" s="15" t="s">
        <v>103</v>
      </c>
      <c r="E147" s="1" t="s">
        <v>42</v>
      </c>
      <c r="F147" s="1" t="s">
        <v>23</v>
      </c>
      <c r="G147" s="1" t="s">
        <v>30</v>
      </c>
      <c r="I147" s="1" t="s">
        <v>26</v>
      </c>
      <c r="K147" s="1" t="s">
        <v>18</v>
      </c>
      <c r="L147" s="1" t="s">
        <v>46</v>
      </c>
      <c r="M147" s="1" t="s">
        <v>58</v>
      </c>
    </row>
    <row r="148" spans="1:13" ht="15.75" customHeight="1" x14ac:dyDescent="0.2">
      <c r="A148" s="1" t="s">
        <v>33</v>
      </c>
      <c r="B148" s="1" t="s">
        <v>34</v>
      </c>
      <c r="C148" s="1" t="s">
        <v>29</v>
      </c>
      <c r="D148" s="15" t="s">
        <v>103</v>
      </c>
      <c r="E148" s="1" t="s">
        <v>42</v>
      </c>
      <c r="F148" s="1" t="s">
        <v>16</v>
      </c>
      <c r="G148" s="1" t="s">
        <v>24</v>
      </c>
      <c r="I148" s="1" t="s">
        <v>26</v>
      </c>
      <c r="K148" s="1" t="s">
        <v>18</v>
      </c>
      <c r="L148" s="1" t="s">
        <v>19</v>
      </c>
      <c r="M148" s="1" t="s">
        <v>40</v>
      </c>
    </row>
    <row r="149" spans="1:13" ht="15.75" customHeight="1" x14ac:dyDescent="0.2">
      <c r="A149" s="1" t="s">
        <v>13</v>
      </c>
      <c r="B149" s="1" t="s">
        <v>14</v>
      </c>
      <c r="C149" s="1" t="s">
        <v>29</v>
      </c>
      <c r="D149" s="15" t="s">
        <v>102</v>
      </c>
      <c r="H149" s="1" t="s">
        <v>74</v>
      </c>
      <c r="I149" s="1" t="s">
        <v>26</v>
      </c>
      <c r="K149" s="1" t="s">
        <v>51</v>
      </c>
      <c r="M149" s="1" t="s">
        <v>20</v>
      </c>
    </row>
    <row r="150" spans="1:13" ht="15.75" customHeight="1" x14ac:dyDescent="0.2">
      <c r="A150" s="1" t="s">
        <v>13</v>
      </c>
      <c r="B150" s="1" t="s">
        <v>14</v>
      </c>
      <c r="C150" s="1" t="s">
        <v>29</v>
      </c>
      <c r="D150" s="15" t="s">
        <v>102</v>
      </c>
      <c r="H150" s="1" t="s">
        <v>80</v>
      </c>
      <c r="I150" s="1" t="s">
        <v>26</v>
      </c>
      <c r="K150" s="1" t="s">
        <v>18</v>
      </c>
      <c r="L150" s="1" t="s">
        <v>46</v>
      </c>
      <c r="M150" s="1" t="s">
        <v>20</v>
      </c>
    </row>
    <row r="151" spans="1:13" ht="15.75" customHeight="1" x14ac:dyDescent="0.2">
      <c r="A151" s="1" t="s">
        <v>13</v>
      </c>
      <c r="B151" s="1" t="s">
        <v>14</v>
      </c>
      <c r="C151" s="1" t="s">
        <v>41</v>
      </c>
      <c r="D151" s="15" t="s">
        <v>104</v>
      </c>
      <c r="E151" s="1" t="s">
        <v>60</v>
      </c>
      <c r="F151" s="1" t="s">
        <v>16</v>
      </c>
      <c r="G151" s="1" t="s">
        <v>24</v>
      </c>
      <c r="I151" s="1" t="s">
        <v>26</v>
      </c>
      <c r="K151" s="1" t="s">
        <v>18</v>
      </c>
      <c r="L151" s="1" t="s">
        <v>19</v>
      </c>
      <c r="M151" s="1" t="s">
        <v>40</v>
      </c>
    </row>
    <row r="152" spans="1:13" ht="15.75" customHeight="1" x14ac:dyDescent="0.2">
      <c r="A152" s="1" t="s">
        <v>33</v>
      </c>
      <c r="B152" s="1" t="s">
        <v>34</v>
      </c>
      <c r="C152" s="1" t="s">
        <v>29</v>
      </c>
      <c r="D152" s="15" t="s">
        <v>102</v>
      </c>
      <c r="H152" s="1" t="s">
        <v>81</v>
      </c>
      <c r="I152" s="1" t="s">
        <v>26</v>
      </c>
      <c r="K152" s="1" t="s">
        <v>54</v>
      </c>
      <c r="L152" s="1" t="s">
        <v>46</v>
      </c>
      <c r="M152" s="1" t="s">
        <v>20</v>
      </c>
    </row>
    <row r="153" spans="1:13" ht="15.75" customHeight="1" x14ac:dyDescent="0.2">
      <c r="A153" s="1" t="s">
        <v>13</v>
      </c>
      <c r="B153" s="1" t="s">
        <v>21</v>
      </c>
      <c r="C153" s="1" t="s">
        <v>29</v>
      </c>
      <c r="D153" s="15" t="s">
        <v>102</v>
      </c>
      <c r="H153" s="1" t="s">
        <v>53</v>
      </c>
      <c r="I153" s="1" t="s">
        <v>17</v>
      </c>
      <c r="K153" s="1" t="s">
        <v>68</v>
      </c>
      <c r="L153" s="1" t="s">
        <v>46</v>
      </c>
      <c r="M153" s="1" t="s">
        <v>58</v>
      </c>
    </row>
    <row r="154" spans="1:13" ht="15.75" customHeight="1" x14ac:dyDescent="0.2">
      <c r="A154" s="1" t="s">
        <v>13</v>
      </c>
      <c r="B154" s="1" t="s">
        <v>14</v>
      </c>
      <c r="C154" s="1" t="s">
        <v>41</v>
      </c>
      <c r="D154" s="15" t="s">
        <v>103</v>
      </c>
      <c r="E154" s="1" t="s">
        <v>42</v>
      </c>
      <c r="F154" s="1" t="s">
        <v>16</v>
      </c>
      <c r="G154" s="1" t="s">
        <v>30</v>
      </c>
      <c r="K154" s="1" t="s">
        <v>18</v>
      </c>
      <c r="L154" s="1" t="s">
        <v>19</v>
      </c>
      <c r="M154" s="1" t="s">
        <v>20</v>
      </c>
    </row>
    <row r="155" spans="1:13" ht="15.75" customHeight="1" x14ac:dyDescent="0.2">
      <c r="A155" s="1" t="s">
        <v>13</v>
      </c>
      <c r="B155" s="1" t="s">
        <v>82</v>
      </c>
      <c r="C155" s="1" t="s">
        <v>29</v>
      </c>
      <c r="D155" s="15" t="s">
        <v>104</v>
      </c>
      <c r="E155" s="1" t="s">
        <v>60</v>
      </c>
      <c r="F155" s="1" t="s">
        <v>16</v>
      </c>
      <c r="G155" s="1" t="s">
        <v>24</v>
      </c>
      <c r="I155" s="1" t="s">
        <v>26</v>
      </c>
      <c r="K155" s="1" t="s">
        <v>18</v>
      </c>
      <c r="L155" s="1" t="s">
        <v>31</v>
      </c>
      <c r="M155" s="1" t="s">
        <v>56</v>
      </c>
    </row>
    <row r="156" spans="1:13" ht="15.75" customHeight="1" x14ac:dyDescent="0.2">
      <c r="A156" s="1" t="s">
        <v>13</v>
      </c>
      <c r="B156" s="1" t="s">
        <v>14</v>
      </c>
      <c r="C156" s="1" t="s">
        <v>29</v>
      </c>
      <c r="D156" s="15" t="s">
        <v>103</v>
      </c>
      <c r="E156" s="1" t="s">
        <v>42</v>
      </c>
      <c r="F156" s="1" t="s">
        <v>23</v>
      </c>
      <c r="G156" s="1" t="s">
        <v>30</v>
      </c>
      <c r="I156" s="1" t="s">
        <v>26</v>
      </c>
      <c r="K156" s="1" t="s">
        <v>18</v>
      </c>
      <c r="L156" s="1" t="s">
        <v>27</v>
      </c>
      <c r="M156" s="1" t="s">
        <v>28</v>
      </c>
    </row>
    <row r="157" spans="1:13" ht="15.75" customHeight="1" x14ac:dyDescent="0.2">
      <c r="A157" s="1" t="s">
        <v>13</v>
      </c>
      <c r="B157" s="1" t="s">
        <v>34</v>
      </c>
      <c r="C157" s="1" t="s">
        <v>41</v>
      </c>
      <c r="D157" s="15" t="s">
        <v>102</v>
      </c>
      <c r="H157" s="1" t="s">
        <v>73</v>
      </c>
      <c r="I157" s="1" t="s">
        <v>26</v>
      </c>
      <c r="K157" s="1" t="s">
        <v>18</v>
      </c>
      <c r="L157" s="1" t="s">
        <v>19</v>
      </c>
      <c r="M157" s="1" t="s">
        <v>40</v>
      </c>
    </row>
    <row r="158" spans="1:13" ht="15.75" customHeight="1" x14ac:dyDescent="0.2">
      <c r="A158" s="1" t="s">
        <v>33</v>
      </c>
      <c r="B158" s="1" t="s">
        <v>21</v>
      </c>
      <c r="C158" s="1" t="s">
        <v>29</v>
      </c>
      <c r="D158" s="15" t="s">
        <v>102</v>
      </c>
      <c r="H158" s="1" t="s">
        <v>83</v>
      </c>
      <c r="I158" s="1" t="s">
        <v>26</v>
      </c>
      <c r="K158" s="1" t="s">
        <v>18</v>
      </c>
      <c r="L158" s="1" t="s">
        <v>19</v>
      </c>
      <c r="M158" s="1" t="s">
        <v>20</v>
      </c>
    </row>
    <row r="159" spans="1:13" ht="15.75" customHeight="1" x14ac:dyDescent="0.2">
      <c r="A159" s="1" t="s">
        <v>13</v>
      </c>
      <c r="B159" s="1" t="s">
        <v>34</v>
      </c>
      <c r="C159" s="1" t="s">
        <v>29</v>
      </c>
      <c r="D159" s="15" t="s">
        <v>103</v>
      </c>
      <c r="E159" s="1" t="s">
        <v>42</v>
      </c>
      <c r="F159" s="1" t="s">
        <v>16</v>
      </c>
      <c r="G159" s="1" t="s">
        <v>62</v>
      </c>
      <c r="I159" s="1" t="s">
        <v>26</v>
      </c>
      <c r="K159" s="1" t="s">
        <v>18</v>
      </c>
      <c r="L159" s="1" t="s">
        <v>19</v>
      </c>
      <c r="M159" s="1" t="s">
        <v>20</v>
      </c>
    </row>
    <row r="160" spans="1:13" ht="15.75" customHeight="1" x14ac:dyDescent="0.2">
      <c r="A160" s="1" t="s">
        <v>13</v>
      </c>
      <c r="B160" s="1" t="s">
        <v>14</v>
      </c>
      <c r="C160" s="1" t="s">
        <v>29</v>
      </c>
      <c r="D160" s="15" t="s">
        <v>102</v>
      </c>
      <c r="H160" s="1" t="s">
        <v>50</v>
      </c>
      <c r="I160" s="1" t="s">
        <v>26</v>
      </c>
      <c r="K160" s="1" t="s">
        <v>68</v>
      </c>
      <c r="L160" s="1" t="s">
        <v>46</v>
      </c>
      <c r="M160" s="1" t="s">
        <v>58</v>
      </c>
    </row>
    <row r="161" spans="1:13" ht="15.75" customHeight="1" x14ac:dyDescent="0.2">
      <c r="A161" s="1" t="s">
        <v>33</v>
      </c>
      <c r="B161" s="1" t="s">
        <v>34</v>
      </c>
      <c r="C161" s="1" t="s">
        <v>29</v>
      </c>
      <c r="D161" s="15" t="s">
        <v>103</v>
      </c>
      <c r="E161" s="15" t="s">
        <v>108</v>
      </c>
      <c r="F161" s="1" t="s">
        <v>23</v>
      </c>
      <c r="G161" s="1" t="s">
        <v>43</v>
      </c>
      <c r="I161" s="1" t="s">
        <v>26</v>
      </c>
      <c r="K161" s="1" t="s">
        <v>54</v>
      </c>
      <c r="L161" s="1" t="s">
        <v>46</v>
      </c>
      <c r="M161" s="1" t="s">
        <v>20</v>
      </c>
    </row>
    <row r="162" spans="1:13" ht="15.75" customHeight="1" x14ac:dyDescent="0.2">
      <c r="A162" s="1" t="s">
        <v>13</v>
      </c>
      <c r="B162" s="1" t="s">
        <v>34</v>
      </c>
      <c r="C162" s="1" t="s">
        <v>29</v>
      </c>
      <c r="D162" s="15" t="s">
        <v>103</v>
      </c>
      <c r="E162" s="1" t="s">
        <v>42</v>
      </c>
      <c r="F162" s="1" t="s">
        <v>23</v>
      </c>
      <c r="G162" s="1" t="s">
        <v>30</v>
      </c>
      <c r="I162" s="1" t="s">
        <v>26</v>
      </c>
      <c r="K162" s="1" t="s">
        <v>51</v>
      </c>
      <c r="M162" s="1" t="s">
        <v>20</v>
      </c>
    </row>
    <row r="163" spans="1:13" ht="15.75" customHeight="1" x14ac:dyDescent="0.2">
      <c r="A163" s="1" t="s">
        <v>13</v>
      </c>
      <c r="B163" s="1" t="s">
        <v>14</v>
      </c>
      <c r="C163" s="1" t="s">
        <v>59</v>
      </c>
      <c r="D163" s="15" t="s">
        <v>103</v>
      </c>
      <c r="E163" s="1" t="s">
        <v>60</v>
      </c>
      <c r="F163" s="1" t="s">
        <v>16</v>
      </c>
      <c r="G163" s="1" t="s">
        <v>24</v>
      </c>
      <c r="I163" s="1" t="s">
        <v>26</v>
      </c>
      <c r="K163" s="1" t="s">
        <v>18</v>
      </c>
      <c r="L163" s="1" t="s">
        <v>19</v>
      </c>
      <c r="M163" s="1" t="s">
        <v>56</v>
      </c>
    </row>
    <row r="164" spans="1:13" ht="15.75" customHeight="1" x14ac:dyDescent="0.2">
      <c r="A164" s="1" t="s">
        <v>13</v>
      </c>
      <c r="B164" s="1" t="s">
        <v>14</v>
      </c>
      <c r="C164" s="1" t="s">
        <v>29</v>
      </c>
      <c r="D164" s="15" t="s">
        <v>103</v>
      </c>
      <c r="E164" s="15" t="s">
        <v>108</v>
      </c>
      <c r="F164" s="1" t="s">
        <v>23</v>
      </c>
      <c r="G164" s="1" t="s">
        <v>43</v>
      </c>
      <c r="I164" s="1" t="s">
        <v>26</v>
      </c>
      <c r="K164" s="1" t="s">
        <v>18</v>
      </c>
      <c r="L164" s="1" t="s">
        <v>19</v>
      </c>
      <c r="M164" s="1" t="s">
        <v>20</v>
      </c>
    </row>
    <row r="165" spans="1:13" ht="15.75" customHeight="1" x14ac:dyDescent="0.2">
      <c r="A165" s="1" t="s">
        <v>13</v>
      </c>
      <c r="B165" s="1" t="s">
        <v>14</v>
      </c>
      <c r="C165" s="1" t="s">
        <v>29</v>
      </c>
      <c r="D165" s="15" t="s">
        <v>103</v>
      </c>
      <c r="E165" s="1" t="s">
        <v>42</v>
      </c>
      <c r="F165" s="1" t="s">
        <v>23</v>
      </c>
      <c r="G165" s="1" t="s">
        <v>84</v>
      </c>
      <c r="I165" s="1" t="s">
        <v>26</v>
      </c>
      <c r="K165" s="1" t="s">
        <v>18</v>
      </c>
      <c r="L165" s="1" t="s">
        <v>31</v>
      </c>
      <c r="M165" s="1" t="s">
        <v>40</v>
      </c>
    </row>
    <row r="166" spans="1:13" ht="15.75" customHeight="1" x14ac:dyDescent="0.2">
      <c r="A166" s="1" t="s">
        <v>13</v>
      </c>
      <c r="B166" s="1" t="s">
        <v>21</v>
      </c>
      <c r="C166" s="1" t="s">
        <v>29</v>
      </c>
      <c r="D166" s="15" t="s">
        <v>102</v>
      </c>
      <c r="H166" s="1" t="s">
        <v>53</v>
      </c>
      <c r="I166" s="1" t="s">
        <v>26</v>
      </c>
      <c r="K166" s="1" t="s">
        <v>18</v>
      </c>
      <c r="L166" s="1" t="s">
        <v>19</v>
      </c>
      <c r="M166" s="1" t="s">
        <v>28</v>
      </c>
    </row>
    <row r="167" spans="1:13" ht="15.75" customHeight="1" x14ac:dyDescent="0.2">
      <c r="A167" s="1" t="s">
        <v>33</v>
      </c>
      <c r="B167" s="1" t="s">
        <v>82</v>
      </c>
      <c r="C167" s="1" t="s">
        <v>15</v>
      </c>
      <c r="D167" s="15" t="s">
        <v>103</v>
      </c>
      <c r="E167" s="1" t="s">
        <v>42</v>
      </c>
      <c r="F167" s="1" t="s">
        <v>23</v>
      </c>
      <c r="G167" s="1" t="s">
        <v>30</v>
      </c>
      <c r="I167" s="1" t="s">
        <v>26</v>
      </c>
      <c r="K167" s="1" t="s">
        <v>18</v>
      </c>
      <c r="L167" s="1" t="s">
        <v>46</v>
      </c>
      <c r="M167" s="1" t="s">
        <v>20</v>
      </c>
    </row>
    <row r="168" spans="1:13" ht="15.75" customHeight="1" x14ac:dyDescent="0.2">
      <c r="A168" s="1" t="s">
        <v>13</v>
      </c>
      <c r="B168" s="1" t="s">
        <v>14</v>
      </c>
      <c r="C168" s="1" t="s">
        <v>29</v>
      </c>
      <c r="D168" s="15" t="s">
        <v>104</v>
      </c>
      <c r="E168" s="1" t="s">
        <v>60</v>
      </c>
      <c r="F168" s="1" t="s">
        <v>16</v>
      </c>
      <c r="G168" s="1" t="s">
        <v>24</v>
      </c>
      <c r="I168" s="1" t="s">
        <v>26</v>
      </c>
      <c r="K168" s="1" t="s">
        <v>18</v>
      </c>
      <c r="L168" s="1" t="s">
        <v>19</v>
      </c>
      <c r="M168" s="1" t="s">
        <v>28</v>
      </c>
    </row>
    <row r="169" spans="1:13" ht="15.75" customHeight="1" x14ac:dyDescent="0.2">
      <c r="A169" s="1" t="s">
        <v>33</v>
      </c>
      <c r="B169" s="1" t="s">
        <v>34</v>
      </c>
      <c r="C169" s="1" t="s">
        <v>15</v>
      </c>
      <c r="D169" s="15" t="s">
        <v>103</v>
      </c>
      <c r="E169" s="15" t="s">
        <v>108</v>
      </c>
      <c r="F169" s="1" t="s">
        <v>23</v>
      </c>
      <c r="G169" s="1" t="s">
        <v>43</v>
      </c>
      <c r="I169" s="1" t="s">
        <v>26</v>
      </c>
      <c r="K169" s="1" t="s">
        <v>18</v>
      </c>
      <c r="L169" s="1" t="s">
        <v>19</v>
      </c>
      <c r="M169" s="1" t="s">
        <v>47</v>
      </c>
    </row>
    <row r="170" spans="1:13" ht="15.75" customHeight="1" x14ac:dyDescent="0.2">
      <c r="A170" s="1" t="s">
        <v>38</v>
      </c>
      <c r="B170" s="1" t="s">
        <v>21</v>
      </c>
      <c r="C170" s="1" t="s">
        <v>22</v>
      </c>
      <c r="D170" s="15" t="s">
        <v>102</v>
      </c>
      <c r="H170" s="1" t="s">
        <v>81</v>
      </c>
      <c r="I170" s="1" t="s">
        <v>26</v>
      </c>
      <c r="K170" s="1" t="s">
        <v>54</v>
      </c>
      <c r="L170" s="1" t="s">
        <v>46</v>
      </c>
      <c r="M170" s="1" t="s">
        <v>56</v>
      </c>
    </row>
    <row r="171" spans="1:13" ht="15.75" customHeight="1" x14ac:dyDescent="0.2">
      <c r="A171" s="1" t="s">
        <v>33</v>
      </c>
      <c r="B171" s="1" t="s">
        <v>21</v>
      </c>
      <c r="C171" s="1" t="s">
        <v>29</v>
      </c>
      <c r="D171" s="15" t="s">
        <v>102</v>
      </c>
      <c r="H171" s="1" t="s">
        <v>85</v>
      </c>
      <c r="I171" s="1" t="s">
        <v>86</v>
      </c>
      <c r="K171" s="1" t="s">
        <v>54</v>
      </c>
      <c r="L171" s="1" t="s">
        <v>46</v>
      </c>
      <c r="M171" s="1" t="s">
        <v>20</v>
      </c>
    </row>
    <row r="172" spans="1:13" ht="15.75" customHeight="1" x14ac:dyDescent="0.2">
      <c r="A172" s="1" t="s">
        <v>33</v>
      </c>
      <c r="B172" s="1" t="s">
        <v>21</v>
      </c>
      <c r="C172" s="1" t="s">
        <v>29</v>
      </c>
      <c r="D172" s="15" t="s">
        <v>102</v>
      </c>
      <c r="H172" s="1" t="s">
        <v>85</v>
      </c>
      <c r="I172" s="1" t="s">
        <v>86</v>
      </c>
      <c r="K172" s="1" t="s">
        <v>18</v>
      </c>
      <c r="L172" s="1" t="s">
        <v>46</v>
      </c>
      <c r="M172" s="1" t="s">
        <v>58</v>
      </c>
    </row>
    <row r="173" spans="1:13" ht="15.75" customHeight="1" x14ac:dyDescent="0.2">
      <c r="A173" s="1" t="s">
        <v>33</v>
      </c>
      <c r="B173" s="1" t="s">
        <v>34</v>
      </c>
      <c r="C173" s="1" t="s">
        <v>41</v>
      </c>
      <c r="D173" s="15" t="s">
        <v>102</v>
      </c>
      <c r="H173" s="1" t="s">
        <v>74</v>
      </c>
      <c r="I173" s="1" t="s">
        <v>26</v>
      </c>
      <c r="K173" s="1" t="s">
        <v>18</v>
      </c>
      <c r="L173" s="1" t="s">
        <v>19</v>
      </c>
      <c r="M173" s="1" t="s">
        <v>28</v>
      </c>
    </row>
    <row r="174" spans="1:13" ht="15.75" customHeight="1" x14ac:dyDescent="0.2">
      <c r="A174" s="1" t="s">
        <v>13</v>
      </c>
      <c r="B174" s="1" t="s">
        <v>14</v>
      </c>
      <c r="C174" s="1" t="s">
        <v>59</v>
      </c>
      <c r="D174" s="15" t="s">
        <v>104</v>
      </c>
      <c r="E174" s="1" t="s">
        <v>60</v>
      </c>
      <c r="F174" s="1" t="s">
        <v>16</v>
      </c>
      <c r="G174" s="1" t="s">
        <v>24</v>
      </c>
      <c r="I174" s="1" t="s">
        <v>17</v>
      </c>
      <c r="K174" s="1" t="s">
        <v>18</v>
      </c>
      <c r="L174" s="1" t="s">
        <v>19</v>
      </c>
      <c r="M174" s="1" t="s">
        <v>40</v>
      </c>
    </row>
    <row r="175" spans="1:13" ht="15.75" customHeight="1" x14ac:dyDescent="0.2">
      <c r="A175" s="1" t="s">
        <v>33</v>
      </c>
      <c r="B175" s="1" t="s">
        <v>34</v>
      </c>
      <c r="C175" s="1" t="s">
        <v>29</v>
      </c>
      <c r="D175" s="15" t="s">
        <v>102</v>
      </c>
      <c r="H175" s="1" t="s">
        <v>69</v>
      </c>
      <c r="I175" s="1" t="s">
        <v>17</v>
      </c>
      <c r="K175" s="1" t="s">
        <v>18</v>
      </c>
      <c r="L175" s="1" t="s">
        <v>27</v>
      </c>
      <c r="M175" s="1" t="s">
        <v>47</v>
      </c>
    </row>
    <row r="176" spans="1:13" ht="15.75" customHeight="1" x14ac:dyDescent="0.2">
      <c r="A176" s="1" t="s">
        <v>13</v>
      </c>
      <c r="B176" s="1" t="s">
        <v>14</v>
      </c>
      <c r="C176" s="1" t="s">
        <v>29</v>
      </c>
      <c r="D176" s="15" t="s">
        <v>103</v>
      </c>
      <c r="E176" s="1" t="s">
        <v>42</v>
      </c>
      <c r="F176" s="1" t="s">
        <v>16</v>
      </c>
      <c r="G176" s="1" t="s">
        <v>62</v>
      </c>
      <c r="I176" s="1" t="s">
        <v>26</v>
      </c>
      <c r="K176" s="1" t="s">
        <v>18</v>
      </c>
      <c r="L176" s="1" t="s">
        <v>31</v>
      </c>
      <c r="M176" s="1" t="s">
        <v>56</v>
      </c>
    </row>
    <row r="177" spans="1:13" ht="15.75" customHeight="1" x14ac:dyDescent="0.2">
      <c r="A177" s="1" t="s">
        <v>13</v>
      </c>
      <c r="B177" s="1" t="s">
        <v>14</v>
      </c>
      <c r="C177" s="1" t="s">
        <v>41</v>
      </c>
      <c r="D177" s="15" t="s">
        <v>103</v>
      </c>
      <c r="E177" s="1" t="s">
        <v>42</v>
      </c>
      <c r="F177" s="1" t="s">
        <v>16</v>
      </c>
      <c r="G177" s="1" t="s">
        <v>24</v>
      </c>
      <c r="I177" s="1" t="s">
        <v>26</v>
      </c>
      <c r="K177" s="1" t="s">
        <v>18</v>
      </c>
      <c r="L177" s="1" t="s">
        <v>19</v>
      </c>
      <c r="M177" s="1" t="s">
        <v>55</v>
      </c>
    </row>
    <row r="178" spans="1:13" ht="15.75" customHeight="1" x14ac:dyDescent="0.2">
      <c r="A178" s="1" t="s">
        <v>33</v>
      </c>
      <c r="B178" s="1" t="s">
        <v>21</v>
      </c>
      <c r="C178" s="1" t="s">
        <v>29</v>
      </c>
      <c r="D178" s="15" t="s">
        <v>102</v>
      </c>
      <c r="H178" s="1" t="s">
        <v>63</v>
      </c>
      <c r="I178" s="1" t="s">
        <v>17</v>
      </c>
      <c r="K178" s="1" t="s">
        <v>51</v>
      </c>
      <c r="M178" s="1" t="s">
        <v>87</v>
      </c>
    </row>
    <row r="179" spans="1:13" ht="15.75" customHeight="1" x14ac:dyDescent="0.2">
      <c r="A179" s="1" t="s">
        <v>33</v>
      </c>
      <c r="B179" s="1" t="s">
        <v>34</v>
      </c>
      <c r="C179" s="1" t="s">
        <v>29</v>
      </c>
      <c r="D179" s="15" t="s">
        <v>103</v>
      </c>
      <c r="E179" s="1" t="s">
        <v>60</v>
      </c>
      <c r="F179" s="1" t="s">
        <v>16</v>
      </c>
      <c r="G179" s="1" t="s">
        <v>24</v>
      </c>
      <c r="I179" s="1" t="s">
        <v>26</v>
      </c>
      <c r="K179" s="1" t="s">
        <v>18</v>
      </c>
      <c r="L179" s="1" t="s">
        <v>19</v>
      </c>
      <c r="M179" s="1" t="s">
        <v>40</v>
      </c>
    </row>
    <row r="180" spans="1:13" ht="15.75" customHeight="1" x14ac:dyDescent="0.2">
      <c r="A180" s="1" t="s">
        <v>13</v>
      </c>
      <c r="B180" s="1" t="s">
        <v>14</v>
      </c>
      <c r="C180" s="1" t="s">
        <v>41</v>
      </c>
      <c r="D180" s="15" t="s">
        <v>102</v>
      </c>
      <c r="H180" s="1" t="s">
        <v>75</v>
      </c>
      <c r="I180" s="1" t="s">
        <v>17</v>
      </c>
      <c r="K180" s="1" t="s">
        <v>18</v>
      </c>
      <c r="L180" s="1" t="s">
        <v>31</v>
      </c>
      <c r="M180" s="1" t="s">
        <v>28</v>
      </c>
    </row>
    <row r="181" spans="1:13" ht="15.75" customHeight="1" x14ac:dyDescent="0.2">
      <c r="A181" s="1" t="s">
        <v>13</v>
      </c>
      <c r="B181" s="1" t="s">
        <v>14</v>
      </c>
      <c r="C181" s="1" t="s">
        <v>29</v>
      </c>
      <c r="D181" s="15" t="s">
        <v>103</v>
      </c>
      <c r="E181" s="1" t="s">
        <v>42</v>
      </c>
      <c r="F181" s="1" t="s">
        <v>23</v>
      </c>
      <c r="G181" s="1" t="s">
        <v>43</v>
      </c>
      <c r="I181" s="1" t="s">
        <v>17</v>
      </c>
      <c r="K181" s="1" t="s">
        <v>18</v>
      </c>
      <c r="L181" s="1" t="s">
        <v>19</v>
      </c>
      <c r="M181" s="1" t="s">
        <v>40</v>
      </c>
    </row>
    <row r="182" spans="1:13" ht="15.75" customHeight="1" x14ac:dyDescent="0.2">
      <c r="A182" s="1" t="s">
        <v>33</v>
      </c>
      <c r="B182" s="1" t="s">
        <v>34</v>
      </c>
      <c r="C182" s="1" t="s">
        <v>29</v>
      </c>
      <c r="D182" s="15" t="s">
        <v>102</v>
      </c>
      <c r="H182" s="1" t="s">
        <v>88</v>
      </c>
      <c r="I182" s="1" t="s">
        <v>26</v>
      </c>
      <c r="K182" s="1" t="s">
        <v>68</v>
      </c>
      <c r="L182" s="1" t="s">
        <v>46</v>
      </c>
      <c r="M182" s="1" t="s">
        <v>28</v>
      </c>
    </row>
    <row r="183" spans="1:13" ht="15.75" customHeight="1" x14ac:dyDescent="0.2">
      <c r="A183" s="1" t="s">
        <v>38</v>
      </c>
      <c r="B183" s="1" t="s">
        <v>21</v>
      </c>
      <c r="C183" s="1" t="s">
        <v>22</v>
      </c>
      <c r="D183" s="15" t="s">
        <v>102</v>
      </c>
      <c r="H183" s="1" t="s">
        <v>71</v>
      </c>
      <c r="I183" s="1" t="s">
        <v>17</v>
      </c>
      <c r="K183" s="1" t="s">
        <v>64</v>
      </c>
      <c r="L183" s="1" t="s">
        <v>46</v>
      </c>
      <c r="M183" s="1" t="s">
        <v>28</v>
      </c>
    </row>
    <row r="184" spans="1:13" ht="15.75" customHeight="1" x14ac:dyDescent="0.2">
      <c r="A184" s="1" t="s">
        <v>13</v>
      </c>
      <c r="B184" s="1" t="s">
        <v>14</v>
      </c>
      <c r="C184" s="1" t="s">
        <v>41</v>
      </c>
      <c r="D184" s="15" t="s">
        <v>102</v>
      </c>
      <c r="H184" s="1" t="s">
        <v>69</v>
      </c>
      <c r="I184" s="1" t="s">
        <v>26</v>
      </c>
      <c r="K184" s="1" t="s">
        <v>18</v>
      </c>
      <c r="L184" s="1" t="s">
        <v>19</v>
      </c>
      <c r="M184" s="1" t="s">
        <v>28</v>
      </c>
    </row>
    <row r="185" spans="1:13" ht="15.75" customHeight="1" x14ac:dyDescent="0.2">
      <c r="A185" s="1" t="s">
        <v>13</v>
      </c>
      <c r="B185" s="1" t="s">
        <v>14</v>
      </c>
      <c r="C185" s="1" t="s">
        <v>41</v>
      </c>
      <c r="D185" s="15" t="s">
        <v>103</v>
      </c>
      <c r="E185" s="1" t="s">
        <v>42</v>
      </c>
      <c r="F185" s="1" t="s">
        <v>23</v>
      </c>
      <c r="G185" s="1" t="s">
        <v>72</v>
      </c>
      <c r="I185" s="1" t="s">
        <v>17</v>
      </c>
      <c r="K185" s="1" t="s">
        <v>18</v>
      </c>
      <c r="L185" s="1" t="s">
        <v>19</v>
      </c>
      <c r="M185" s="1" t="s">
        <v>56</v>
      </c>
    </row>
    <row r="186" spans="1:13" ht="15.75" customHeight="1" x14ac:dyDescent="0.2">
      <c r="A186" s="1" t="s">
        <v>13</v>
      </c>
      <c r="B186" s="1" t="s">
        <v>14</v>
      </c>
      <c r="C186" s="1" t="s">
        <v>29</v>
      </c>
      <c r="D186" s="15" t="s">
        <v>104</v>
      </c>
      <c r="E186" s="1" t="s">
        <v>60</v>
      </c>
      <c r="F186" s="1" t="s">
        <v>16</v>
      </c>
      <c r="G186" s="1" t="s">
        <v>24</v>
      </c>
      <c r="I186" s="1" t="s">
        <v>26</v>
      </c>
      <c r="K186" s="1" t="s">
        <v>18</v>
      </c>
      <c r="L186" s="1" t="s">
        <v>19</v>
      </c>
      <c r="M186" s="1" t="s">
        <v>56</v>
      </c>
    </row>
    <row r="187" spans="1:13" ht="15.75" customHeight="1" x14ac:dyDescent="0.2">
      <c r="A187" s="1" t="s">
        <v>13</v>
      </c>
      <c r="B187" s="1" t="s">
        <v>34</v>
      </c>
      <c r="C187" s="1" t="s">
        <v>29</v>
      </c>
      <c r="D187" s="15" t="s">
        <v>104</v>
      </c>
      <c r="E187" s="1" t="s">
        <v>42</v>
      </c>
      <c r="F187" s="1" t="s">
        <v>23</v>
      </c>
      <c r="G187" s="1" t="s">
        <v>30</v>
      </c>
      <c r="I187" s="1" t="s">
        <v>26</v>
      </c>
      <c r="K187" s="1" t="s">
        <v>18</v>
      </c>
      <c r="L187" s="1" t="s">
        <v>27</v>
      </c>
      <c r="M187" s="1" t="s">
        <v>32</v>
      </c>
    </row>
    <row r="188" spans="1:13" ht="15.75" customHeight="1" x14ac:dyDescent="0.2">
      <c r="A188" s="1" t="s">
        <v>13</v>
      </c>
      <c r="B188" s="1" t="s">
        <v>14</v>
      </c>
      <c r="C188" s="1" t="s">
        <v>29</v>
      </c>
      <c r="D188" s="15" t="s">
        <v>103</v>
      </c>
      <c r="E188" s="1" t="s">
        <v>42</v>
      </c>
      <c r="F188" s="1" t="s">
        <v>23</v>
      </c>
      <c r="G188" s="1" t="s">
        <v>43</v>
      </c>
      <c r="I188" s="1" t="s">
        <v>26</v>
      </c>
      <c r="K188" s="1" t="s">
        <v>18</v>
      </c>
      <c r="L188" s="1" t="s">
        <v>19</v>
      </c>
      <c r="M188" s="1" t="s">
        <v>40</v>
      </c>
    </row>
    <row r="189" spans="1:13" ht="15.75" customHeight="1" x14ac:dyDescent="0.2">
      <c r="A189" s="1" t="s">
        <v>33</v>
      </c>
      <c r="B189" s="1" t="s">
        <v>21</v>
      </c>
      <c r="C189" s="1" t="s">
        <v>29</v>
      </c>
      <c r="D189" s="15" t="s">
        <v>102</v>
      </c>
      <c r="H189" s="1" t="s">
        <v>89</v>
      </c>
      <c r="I189" s="1" t="s">
        <v>26</v>
      </c>
      <c r="K189" s="1" t="s">
        <v>18</v>
      </c>
      <c r="L189" s="1" t="s">
        <v>46</v>
      </c>
      <c r="M189" s="1" t="s">
        <v>28</v>
      </c>
    </row>
    <row r="190" spans="1:13" ht="15.75" customHeight="1" x14ac:dyDescent="0.2">
      <c r="A190" s="1" t="s">
        <v>33</v>
      </c>
      <c r="B190" s="1" t="s">
        <v>34</v>
      </c>
      <c r="C190" s="1" t="s">
        <v>29</v>
      </c>
      <c r="D190" s="15" t="s">
        <v>103</v>
      </c>
      <c r="E190" s="1" t="s">
        <v>42</v>
      </c>
      <c r="F190" s="1" t="s">
        <v>23</v>
      </c>
      <c r="G190" s="1" t="s">
        <v>72</v>
      </c>
      <c r="I190" s="1" t="s">
        <v>26</v>
      </c>
      <c r="K190" s="1" t="s">
        <v>18</v>
      </c>
      <c r="L190" s="1" t="s">
        <v>19</v>
      </c>
      <c r="M190" s="1" t="s">
        <v>28</v>
      </c>
    </row>
    <row r="191" spans="1:13" ht="15.75" customHeight="1" x14ac:dyDescent="0.2">
      <c r="A191" s="1" t="s">
        <v>33</v>
      </c>
      <c r="B191" s="1" t="s">
        <v>34</v>
      </c>
      <c r="C191" s="1" t="s">
        <v>29</v>
      </c>
      <c r="D191" s="15" t="s">
        <v>102</v>
      </c>
      <c r="H191" s="1" t="s">
        <v>90</v>
      </c>
      <c r="I191" s="1" t="s">
        <v>26</v>
      </c>
      <c r="K191" s="1" t="s">
        <v>51</v>
      </c>
      <c r="L191" s="1" t="s">
        <v>52</v>
      </c>
    </row>
    <row r="192" spans="1:13" ht="15.75" customHeight="1" x14ac:dyDescent="0.2">
      <c r="A192" s="1" t="s">
        <v>13</v>
      </c>
      <c r="B192" s="1" t="s">
        <v>14</v>
      </c>
      <c r="C192" s="1" t="s">
        <v>59</v>
      </c>
      <c r="D192" s="15" t="s">
        <v>103</v>
      </c>
      <c r="E192" s="1" t="s">
        <v>42</v>
      </c>
      <c r="F192" s="1" t="s">
        <v>16</v>
      </c>
      <c r="G192" s="1" t="s">
        <v>24</v>
      </c>
      <c r="I192" s="1" t="s">
        <v>26</v>
      </c>
      <c r="K192" s="1" t="s">
        <v>18</v>
      </c>
      <c r="L192" s="1" t="s">
        <v>19</v>
      </c>
      <c r="M192" s="1" t="s">
        <v>55</v>
      </c>
    </row>
    <row r="193" spans="1:13" ht="15.75" customHeight="1" x14ac:dyDescent="0.2">
      <c r="A193" s="1" t="s">
        <v>33</v>
      </c>
      <c r="B193" s="1" t="s">
        <v>34</v>
      </c>
      <c r="C193" s="1" t="s">
        <v>29</v>
      </c>
      <c r="D193" s="15" t="s">
        <v>103</v>
      </c>
      <c r="E193" s="15" t="s">
        <v>108</v>
      </c>
      <c r="F193" s="1" t="s">
        <v>23</v>
      </c>
      <c r="G193" s="1" t="s">
        <v>43</v>
      </c>
      <c r="I193" s="1" t="s">
        <v>26</v>
      </c>
      <c r="K193" s="1" t="s">
        <v>91</v>
      </c>
      <c r="L193" s="1" t="s">
        <v>46</v>
      </c>
      <c r="M193" s="1" t="s">
        <v>40</v>
      </c>
    </row>
    <row r="194" spans="1:13" ht="15.75" customHeight="1" x14ac:dyDescent="0.2">
      <c r="A194" s="1" t="s">
        <v>33</v>
      </c>
      <c r="B194" s="1" t="s">
        <v>21</v>
      </c>
      <c r="C194" s="1" t="s">
        <v>15</v>
      </c>
      <c r="D194" s="15" t="s">
        <v>102</v>
      </c>
      <c r="H194" s="1" t="s">
        <v>53</v>
      </c>
      <c r="I194" s="1" t="s">
        <v>26</v>
      </c>
      <c r="K194" s="1" t="s">
        <v>51</v>
      </c>
      <c r="M194" s="1" t="s">
        <v>20</v>
      </c>
    </row>
    <row r="195" spans="1:13" ht="15.75" customHeight="1" x14ac:dyDescent="0.2">
      <c r="A195" s="1" t="s">
        <v>21</v>
      </c>
      <c r="B195" s="1" t="s">
        <v>21</v>
      </c>
      <c r="C195" s="1" t="s">
        <v>15</v>
      </c>
      <c r="D195" s="15" t="s">
        <v>102</v>
      </c>
      <c r="H195" s="1" t="s">
        <v>89</v>
      </c>
      <c r="I195" s="1" t="s">
        <v>26</v>
      </c>
      <c r="K195" s="1" t="s">
        <v>54</v>
      </c>
      <c r="L195" s="1" t="s">
        <v>46</v>
      </c>
      <c r="M195" s="1" t="s">
        <v>20</v>
      </c>
    </row>
    <row r="196" spans="1:13" ht="15.75" customHeight="1" x14ac:dyDescent="0.2">
      <c r="A196" s="1" t="s">
        <v>33</v>
      </c>
      <c r="B196" s="1" t="s">
        <v>34</v>
      </c>
      <c r="C196" s="1" t="s">
        <v>41</v>
      </c>
      <c r="D196" s="15" t="s">
        <v>103</v>
      </c>
      <c r="E196" s="1" t="s">
        <v>42</v>
      </c>
      <c r="F196" s="1" t="s">
        <v>23</v>
      </c>
      <c r="G196" s="1" t="s">
        <v>43</v>
      </c>
      <c r="I196" s="1" t="s">
        <v>17</v>
      </c>
      <c r="K196" s="1" t="s">
        <v>18</v>
      </c>
      <c r="L196" s="1" t="s">
        <v>19</v>
      </c>
      <c r="M196" s="1" t="s">
        <v>55</v>
      </c>
    </row>
    <row r="197" spans="1:13" ht="15.75" customHeight="1" x14ac:dyDescent="0.2">
      <c r="A197" s="1" t="s">
        <v>13</v>
      </c>
      <c r="B197" s="1" t="s">
        <v>21</v>
      </c>
      <c r="C197" s="1" t="s">
        <v>29</v>
      </c>
      <c r="D197" s="15" t="s">
        <v>102</v>
      </c>
      <c r="H197" s="1" t="s">
        <v>71</v>
      </c>
      <c r="I197" s="1" t="s">
        <v>26</v>
      </c>
      <c r="K197" s="1" t="s">
        <v>18</v>
      </c>
      <c r="L197" s="1" t="s">
        <v>19</v>
      </c>
      <c r="M197" s="1" t="s">
        <v>28</v>
      </c>
    </row>
    <row r="198" spans="1:13" ht="15.75" customHeight="1" x14ac:dyDescent="0.2">
      <c r="A198" s="1" t="s">
        <v>33</v>
      </c>
      <c r="B198" s="1" t="s">
        <v>34</v>
      </c>
      <c r="C198" s="1" t="s">
        <v>29</v>
      </c>
      <c r="D198" s="15" t="s">
        <v>104</v>
      </c>
      <c r="E198" s="1" t="s">
        <v>42</v>
      </c>
      <c r="F198" s="1" t="s">
        <v>16</v>
      </c>
      <c r="G198" s="1" t="s">
        <v>24</v>
      </c>
      <c r="I198" s="1" t="s">
        <v>26</v>
      </c>
      <c r="K198" s="1" t="s">
        <v>18</v>
      </c>
      <c r="L198" s="1" t="s">
        <v>31</v>
      </c>
      <c r="M198" s="1" t="s">
        <v>56</v>
      </c>
    </row>
    <row r="199" spans="1:13" ht="15.75" customHeight="1" x14ac:dyDescent="0.2">
      <c r="A199" s="1" t="s">
        <v>33</v>
      </c>
      <c r="B199" s="1" t="s">
        <v>34</v>
      </c>
      <c r="C199" s="1" t="s">
        <v>29</v>
      </c>
      <c r="D199" s="15" t="s">
        <v>103</v>
      </c>
      <c r="E199" s="1" t="s">
        <v>42</v>
      </c>
      <c r="F199" s="1" t="s">
        <v>23</v>
      </c>
      <c r="G199" s="1" t="s">
        <v>30</v>
      </c>
      <c r="I199" s="1" t="s">
        <v>17</v>
      </c>
      <c r="K199" s="1" t="s">
        <v>18</v>
      </c>
      <c r="L199" s="1" t="s">
        <v>19</v>
      </c>
      <c r="M199" s="1" t="s">
        <v>56</v>
      </c>
    </row>
    <row r="200" spans="1:13" ht="15.75" customHeight="1" x14ac:dyDescent="0.2">
      <c r="A200" s="1" t="s">
        <v>13</v>
      </c>
      <c r="B200" s="1" t="s">
        <v>34</v>
      </c>
      <c r="C200" s="1" t="s">
        <v>29</v>
      </c>
      <c r="D200" s="15" t="s">
        <v>104</v>
      </c>
      <c r="E200" s="1" t="s">
        <v>60</v>
      </c>
      <c r="F200" s="1" t="s">
        <v>16</v>
      </c>
      <c r="G200" s="1" t="s">
        <v>92</v>
      </c>
      <c r="I200" s="1" t="s">
        <v>26</v>
      </c>
      <c r="K200" s="1" t="s">
        <v>18</v>
      </c>
      <c r="L200" s="1" t="s">
        <v>19</v>
      </c>
      <c r="M200" s="1" t="s">
        <v>28</v>
      </c>
    </row>
    <row r="201" spans="1:13" ht="15.75" customHeight="1" x14ac:dyDescent="0.2">
      <c r="A201" s="1" t="s">
        <v>13</v>
      </c>
      <c r="B201" s="1" t="s">
        <v>14</v>
      </c>
      <c r="C201" s="1" t="s">
        <v>41</v>
      </c>
      <c r="D201" s="15" t="s">
        <v>103</v>
      </c>
      <c r="E201" s="1" t="s">
        <v>42</v>
      </c>
      <c r="F201" s="1" t="s">
        <v>23</v>
      </c>
      <c r="G201" s="1" t="s">
        <v>30</v>
      </c>
      <c r="I201" s="1" t="s">
        <v>26</v>
      </c>
      <c r="K201" s="1" t="s">
        <v>18</v>
      </c>
      <c r="L201" s="1" t="s">
        <v>27</v>
      </c>
      <c r="M201" s="1" t="s">
        <v>56</v>
      </c>
    </row>
    <row r="202" spans="1:13" ht="15.75" customHeight="1" x14ac:dyDescent="0.2">
      <c r="A202" s="1" t="s">
        <v>13</v>
      </c>
      <c r="B202" s="1" t="s">
        <v>14</v>
      </c>
      <c r="C202" s="1" t="s">
        <v>29</v>
      </c>
      <c r="D202" s="15" t="s">
        <v>103</v>
      </c>
      <c r="E202" s="1" t="s">
        <v>42</v>
      </c>
      <c r="F202" s="1" t="s">
        <v>23</v>
      </c>
      <c r="G202" s="1" t="s">
        <v>43</v>
      </c>
      <c r="I202" s="1" t="s">
        <v>26</v>
      </c>
      <c r="K202" s="1" t="s">
        <v>18</v>
      </c>
      <c r="L202" s="1" t="s">
        <v>46</v>
      </c>
      <c r="M202" s="1" t="s">
        <v>28</v>
      </c>
    </row>
    <row r="203" spans="1:13" ht="15.75" customHeight="1" x14ac:dyDescent="0.2">
      <c r="A203" s="1" t="s">
        <v>13</v>
      </c>
      <c r="B203" s="1" t="s">
        <v>34</v>
      </c>
      <c r="C203" s="1" t="s">
        <v>41</v>
      </c>
      <c r="D203" s="15" t="s">
        <v>103</v>
      </c>
      <c r="E203" s="1" t="s">
        <v>42</v>
      </c>
      <c r="F203" s="1" t="s">
        <v>23</v>
      </c>
      <c r="G203" s="1" t="s">
        <v>84</v>
      </c>
      <c r="I203" s="1" t="s">
        <v>26</v>
      </c>
      <c r="K203" s="1" t="s">
        <v>18</v>
      </c>
      <c r="L203" s="1" t="s">
        <v>27</v>
      </c>
      <c r="M203" s="1" t="s">
        <v>28</v>
      </c>
    </row>
    <row r="204" spans="1:13" ht="15.75" customHeight="1" x14ac:dyDescent="0.2">
      <c r="A204" s="1" t="s">
        <v>33</v>
      </c>
      <c r="B204" s="1" t="s">
        <v>21</v>
      </c>
      <c r="C204" s="1" t="s">
        <v>15</v>
      </c>
      <c r="D204" s="15" t="s">
        <v>102</v>
      </c>
      <c r="H204" s="1" t="s">
        <v>81</v>
      </c>
      <c r="I204" s="1" t="s">
        <v>17</v>
      </c>
      <c r="K204" s="1" t="s">
        <v>54</v>
      </c>
      <c r="L204" s="1" t="s">
        <v>46</v>
      </c>
      <c r="M204" s="1" t="s">
        <v>28</v>
      </c>
    </row>
    <row r="205" spans="1:13" ht="15.75" customHeight="1" x14ac:dyDescent="0.2">
      <c r="A205" s="1" t="s">
        <v>13</v>
      </c>
      <c r="B205" s="1" t="s">
        <v>14</v>
      </c>
      <c r="C205" s="1" t="s">
        <v>41</v>
      </c>
      <c r="D205" s="15" t="s">
        <v>102</v>
      </c>
      <c r="H205" s="1" t="s">
        <v>85</v>
      </c>
      <c r="I205" s="1" t="s">
        <v>86</v>
      </c>
      <c r="K205" s="1" t="s">
        <v>54</v>
      </c>
      <c r="L205" s="1" t="s">
        <v>46</v>
      </c>
    </row>
    <row r="206" spans="1:13" ht="15.75" customHeight="1" x14ac:dyDescent="0.2">
      <c r="A206" s="1" t="s">
        <v>13</v>
      </c>
      <c r="B206" s="1" t="s">
        <v>34</v>
      </c>
      <c r="C206" s="1" t="s">
        <v>59</v>
      </c>
      <c r="D206" s="15" t="s">
        <v>104</v>
      </c>
      <c r="E206" s="1" t="s">
        <v>60</v>
      </c>
      <c r="F206" s="1" t="s">
        <v>61</v>
      </c>
      <c r="G206" s="1" t="s">
        <v>24</v>
      </c>
      <c r="H206" s="1" t="s">
        <v>85</v>
      </c>
      <c r="I206" s="1" t="s">
        <v>26</v>
      </c>
      <c r="K206" s="1" t="s">
        <v>18</v>
      </c>
      <c r="L206" s="1" t="s">
        <v>31</v>
      </c>
      <c r="M206" s="1" t="s">
        <v>56</v>
      </c>
    </row>
    <row r="207" spans="1:13" ht="15.75" customHeight="1" x14ac:dyDescent="0.2">
      <c r="A207" s="1" t="s">
        <v>33</v>
      </c>
      <c r="B207" s="1" t="s">
        <v>34</v>
      </c>
      <c r="C207" s="1" t="s">
        <v>29</v>
      </c>
      <c r="D207" s="15" t="s">
        <v>103</v>
      </c>
      <c r="E207" s="1" t="s">
        <v>42</v>
      </c>
      <c r="F207" s="1" t="s">
        <v>23</v>
      </c>
      <c r="G207" s="1" t="s">
        <v>30</v>
      </c>
      <c r="I207" s="1" t="s">
        <v>26</v>
      </c>
      <c r="K207" s="1" t="s">
        <v>18</v>
      </c>
      <c r="L207" s="1" t="s">
        <v>19</v>
      </c>
      <c r="M207" s="1" t="s">
        <v>56</v>
      </c>
    </row>
    <row r="208" spans="1:13" ht="15.75" customHeight="1" x14ac:dyDescent="0.2">
      <c r="A208" s="1" t="s">
        <v>33</v>
      </c>
      <c r="B208" s="1" t="s">
        <v>21</v>
      </c>
      <c r="C208" s="1" t="s">
        <v>15</v>
      </c>
      <c r="D208" s="15" t="s">
        <v>102</v>
      </c>
      <c r="H208" s="1" t="s">
        <v>79</v>
      </c>
      <c r="I208" s="1" t="s">
        <v>17</v>
      </c>
      <c r="K208" s="1" t="s">
        <v>51</v>
      </c>
      <c r="M208" s="1" t="s">
        <v>20</v>
      </c>
    </row>
    <row r="209" spans="1:13" ht="15.75" customHeight="1" x14ac:dyDescent="0.2">
      <c r="A209" s="1" t="s">
        <v>13</v>
      </c>
      <c r="B209" s="1" t="s">
        <v>34</v>
      </c>
      <c r="C209" s="1" t="s">
        <v>41</v>
      </c>
      <c r="D209" s="15" t="s">
        <v>102</v>
      </c>
      <c r="H209" s="1" t="s">
        <v>74</v>
      </c>
      <c r="I209" s="1" t="s">
        <v>26</v>
      </c>
      <c r="K209" s="1" t="s">
        <v>18</v>
      </c>
      <c r="L209" s="1" t="s">
        <v>19</v>
      </c>
      <c r="M209" s="1" t="s">
        <v>40</v>
      </c>
    </row>
    <row r="210" spans="1:13" ht="15.75" customHeight="1" x14ac:dyDescent="0.2">
      <c r="A210" s="1" t="s">
        <v>33</v>
      </c>
      <c r="B210" s="1" t="s">
        <v>21</v>
      </c>
      <c r="C210" s="1" t="s">
        <v>29</v>
      </c>
      <c r="D210" s="15" t="s">
        <v>103</v>
      </c>
      <c r="E210" s="1" t="s">
        <v>42</v>
      </c>
      <c r="F210" s="1" t="s">
        <v>23</v>
      </c>
      <c r="G210" s="1" t="s">
        <v>43</v>
      </c>
      <c r="I210" s="1" t="s">
        <v>26</v>
      </c>
      <c r="K210" s="1" t="s">
        <v>18</v>
      </c>
      <c r="L210" s="1" t="s">
        <v>19</v>
      </c>
      <c r="M210" s="1" t="s">
        <v>55</v>
      </c>
    </row>
    <row r="211" spans="1:13" ht="15.75" customHeight="1" x14ac:dyDescent="0.2">
      <c r="A211" s="1" t="s">
        <v>13</v>
      </c>
      <c r="B211" s="1" t="s">
        <v>14</v>
      </c>
      <c r="C211" s="1" t="s">
        <v>41</v>
      </c>
      <c r="D211" s="15" t="s">
        <v>103</v>
      </c>
      <c r="E211" s="1" t="s">
        <v>42</v>
      </c>
      <c r="F211" s="1" t="s">
        <v>61</v>
      </c>
      <c r="G211" s="1" t="s">
        <v>24</v>
      </c>
      <c r="I211" s="1" t="s">
        <v>26</v>
      </c>
      <c r="K211" s="1" t="s">
        <v>18</v>
      </c>
      <c r="L211" s="1" t="s">
        <v>19</v>
      </c>
      <c r="M211" s="1" t="s">
        <v>28</v>
      </c>
    </row>
    <row r="212" spans="1:13" ht="15.75" customHeight="1" x14ac:dyDescent="0.2">
      <c r="A212" s="1" t="s">
        <v>33</v>
      </c>
      <c r="B212" s="1" t="s">
        <v>34</v>
      </c>
      <c r="C212" s="1" t="s">
        <v>29</v>
      </c>
      <c r="D212" s="15" t="s">
        <v>103</v>
      </c>
      <c r="E212" s="1" t="s">
        <v>42</v>
      </c>
      <c r="F212" s="1" t="s">
        <v>23</v>
      </c>
      <c r="G212" s="1" t="s">
        <v>30</v>
      </c>
      <c r="I212" s="1" t="s">
        <v>26</v>
      </c>
      <c r="K212" s="1" t="s">
        <v>18</v>
      </c>
      <c r="L212" s="1" t="s">
        <v>27</v>
      </c>
      <c r="M212" s="1" t="s">
        <v>20</v>
      </c>
    </row>
    <row r="213" spans="1:13" ht="15.75" customHeight="1" x14ac:dyDescent="0.2">
      <c r="A213" s="1" t="s">
        <v>13</v>
      </c>
      <c r="B213" s="1" t="s">
        <v>14</v>
      </c>
      <c r="C213" s="1" t="s">
        <v>41</v>
      </c>
      <c r="D213" s="15" t="s">
        <v>104</v>
      </c>
      <c r="E213" s="1" t="s">
        <v>60</v>
      </c>
      <c r="F213" s="1" t="s">
        <v>23</v>
      </c>
      <c r="G213" s="1" t="s">
        <v>43</v>
      </c>
      <c r="I213" s="1" t="s">
        <v>26</v>
      </c>
      <c r="K213" s="1" t="s">
        <v>18</v>
      </c>
      <c r="L213" s="1" t="s">
        <v>19</v>
      </c>
      <c r="M213" s="1" t="s">
        <v>87</v>
      </c>
    </row>
    <row r="214" spans="1:13" ht="15.75" customHeight="1" x14ac:dyDescent="0.2">
      <c r="A214" s="1" t="s">
        <v>33</v>
      </c>
      <c r="B214" s="1" t="s">
        <v>82</v>
      </c>
      <c r="C214" s="1" t="s">
        <v>29</v>
      </c>
      <c r="D214" s="15" t="s">
        <v>102</v>
      </c>
      <c r="H214" s="1" t="s">
        <v>81</v>
      </c>
      <c r="I214" s="1" t="s">
        <v>26</v>
      </c>
      <c r="K214" s="1" t="s">
        <v>18</v>
      </c>
      <c r="L214" s="1" t="s">
        <v>19</v>
      </c>
      <c r="M214" s="1" t="s">
        <v>28</v>
      </c>
    </row>
    <row r="215" spans="1:13" ht="15.75" customHeight="1" x14ac:dyDescent="0.2">
      <c r="A215" s="1" t="s">
        <v>33</v>
      </c>
      <c r="B215" s="1" t="s">
        <v>21</v>
      </c>
      <c r="C215" s="1" t="s">
        <v>29</v>
      </c>
      <c r="D215" s="15" t="s">
        <v>103</v>
      </c>
      <c r="E215" s="1" t="s">
        <v>42</v>
      </c>
      <c r="F215" s="1" t="s">
        <v>23</v>
      </c>
      <c r="G215" s="1" t="s">
        <v>72</v>
      </c>
      <c r="I215" s="1" t="s">
        <v>26</v>
      </c>
      <c r="K215" s="1" t="s">
        <v>18</v>
      </c>
      <c r="L215" s="1" t="s">
        <v>19</v>
      </c>
      <c r="M215" s="1" t="s">
        <v>56</v>
      </c>
    </row>
    <row r="216" spans="1:13" ht="15.75" customHeight="1" x14ac:dyDescent="0.2">
      <c r="A216" s="1" t="s">
        <v>13</v>
      </c>
      <c r="B216" s="1" t="s">
        <v>14</v>
      </c>
      <c r="C216" s="1" t="s">
        <v>41</v>
      </c>
      <c r="D216" s="15" t="s">
        <v>102</v>
      </c>
      <c r="H216" s="1" t="s">
        <v>93</v>
      </c>
      <c r="I216" s="1" t="s">
        <v>26</v>
      </c>
      <c r="K216" s="1" t="s">
        <v>18</v>
      </c>
      <c r="L216" s="1" t="s">
        <v>27</v>
      </c>
      <c r="M216" s="1" t="s">
        <v>55</v>
      </c>
    </row>
    <row r="217" spans="1:13" ht="15.75" customHeight="1" x14ac:dyDescent="0.2">
      <c r="A217" s="1" t="s">
        <v>13</v>
      </c>
      <c r="B217" s="1" t="s">
        <v>14</v>
      </c>
      <c r="C217" s="1" t="s">
        <v>41</v>
      </c>
      <c r="D217" s="15" t="s">
        <v>104</v>
      </c>
      <c r="E217" s="1" t="s">
        <v>60</v>
      </c>
      <c r="F217" s="1" t="s">
        <v>61</v>
      </c>
      <c r="G217" s="1" t="s">
        <v>24</v>
      </c>
      <c r="I217" s="1" t="s">
        <v>26</v>
      </c>
      <c r="K217" s="1" t="s">
        <v>18</v>
      </c>
      <c r="L217" s="1" t="s">
        <v>19</v>
      </c>
      <c r="M217" s="1" t="s">
        <v>40</v>
      </c>
    </row>
    <row r="218" spans="1:13" ht="15.75" customHeight="1" x14ac:dyDescent="0.2">
      <c r="A218" s="1" t="s">
        <v>13</v>
      </c>
      <c r="B218" s="1" t="s">
        <v>34</v>
      </c>
      <c r="C218" s="1" t="s">
        <v>29</v>
      </c>
      <c r="D218" s="15" t="s">
        <v>102</v>
      </c>
      <c r="H218" s="1" t="s">
        <v>81</v>
      </c>
      <c r="I218" s="1" t="s">
        <v>17</v>
      </c>
      <c r="K218" s="1" t="s">
        <v>68</v>
      </c>
      <c r="L218" s="1" t="s">
        <v>46</v>
      </c>
      <c r="M218" s="1" t="s">
        <v>40</v>
      </c>
    </row>
    <row r="219" spans="1:13" ht="15.75" customHeight="1" x14ac:dyDescent="0.2">
      <c r="A219" s="1" t="s">
        <v>33</v>
      </c>
      <c r="B219" s="1" t="s">
        <v>34</v>
      </c>
      <c r="C219" s="1" t="s">
        <v>29</v>
      </c>
      <c r="D219" s="15" t="s">
        <v>103</v>
      </c>
      <c r="E219" s="1" t="s">
        <v>42</v>
      </c>
      <c r="F219" s="1" t="s">
        <v>23</v>
      </c>
      <c r="G219" s="1" t="s">
        <v>43</v>
      </c>
      <c r="I219" s="1" t="s">
        <v>26</v>
      </c>
      <c r="K219" s="1" t="s">
        <v>18</v>
      </c>
      <c r="L219" s="1" t="s">
        <v>19</v>
      </c>
      <c r="M219" s="1" t="s">
        <v>56</v>
      </c>
    </row>
    <row r="220" spans="1:13" ht="15.75" customHeight="1" x14ac:dyDescent="0.2">
      <c r="A220" s="1" t="s">
        <v>33</v>
      </c>
      <c r="B220" s="1" t="s">
        <v>21</v>
      </c>
      <c r="C220" s="1" t="s">
        <v>15</v>
      </c>
      <c r="D220" s="15" t="s">
        <v>102</v>
      </c>
      <c r="H220" s="1" t="s">
        <v>81</v>
      </c>
      <c r="I220" s="1" t="s">
        <v>26</v>
      </c>
      <c r="K220" s="1" t="s">
        <v>18</v>
      </c>
      <c r="L220" s="1" t="s">
        <v>19</v>
      </c>
      <c r="M220" s="1" t="s">
        <v>56</v>
      </c>
    </row>
    <row r="221" spans="1:13" ht="15.75" customHeight="1" x14ac:dyDescent="0.2">
      <c r="A221" s="1" t="s">
        <v>33</v>
      </c>
      <c r="B221" s="1" t="s">
        <v>34</v>
      </c>
      <c r="C221" s="1" t="s">
        <v>29</v>
      </c>
      <c r="D221" s="15" t="s">
        <v>104</v>
      </c>
      <c r="E221" s="1" t="s">
        <v>60</v>
      </c>
      <c r="F221" s="1" t="s">
        <v>16</v>
      </c>
      <c r="G221" s="1" t="s">
        <v>92</v>
      </c>
      <c r="I221" s="1" t="s">
        <v>26</v>
      </c>
      <c r="K221" s="1" t="s">
        <v>18</v>
      </c>
      <c r="L221" s="1" t="s">
        <v>19</v>
      </c>
      <c r="M221" s="1" t="s">
        <v>20</v>
      </c>
    </row>
    <row r="222" spans="1:13" ht="15.75" customHeight="1" x14ac:dyDescent="0.2">
      <c r="A222" s="1" t="s">
        <v>13</v>
      </c>
      <c r="B222" s="1" t="s">
        <v>21</v>
      </c>
      <c r="C222" s="1" t="s">
        <v>29</v>
      </c>
      <c r="D222" s="15" t="s">
        <v>102</v>
      </c>
      <c r="H222" s="1" t="s">
        <v>69</v>
      </c>
      <c r="I222" s="1" t="s">
        <v>17</v>
      </c>
      <c r="K222" s="1" t="s">
        <v>54</v>
      </c>
      <c r="L222" s="1" t="s">
        <v>46</v>
      </c>
      <c r="M222" s="1" t="s">
        <v>28</v>
      </c>
    </row>
    <row r="223" spans="1:13" ht="15.75" customHeight="1" x14ac:dyDescent="0.2">
      <c r="A223" s="1" t="s">
        <v>33</v>
      </c>
      <c r="B223" s="1" t="s">
        <v>34</v>
      </c>
      <c r="C223" s="1" t="s">
        <v>29</v>
      </c>
      <c r="D223" s="15" t="s">
        <v>103</v>
      </c>
      <c r="E223" s="1" t="s">
        <v>42</v>
      </c>
      <c r="F223" s="1" t="s">
        <v>23</v>
      </c>
      <c r="G223" s="1" t="s">
        <v>43</v>
      </c>
      <c r="I223" s="1" t="s">
        <v>17</v>
      </c>
      <c r="K223" s="1" t="s">
        <v>18</v>
      </c>
      <c r="L223" s="1" t="s">
        <v>19</v>
      </c>
      <c r="M223" s="1" t="s">
        <v>40</v>
      </c>
    </row>
    <row r="226" spans="1:13" ht="15.75" customHeight="1" x14ac:dyDescent="0.2">
      <c r="A226">
        <f>COUNTIF(A2:BA223,"Très intéressante")</f>
        <v>125</v>
      </c>
      <c r="B226">
        <f>COUNTIF(B2:BB223,"Très intéressantes")</f>
        <v>88</v>
      </c>
      <c r="C226">
        <f>COUNTIF(C2:BC223,"Moins d' 1 heure")</f>
        <v>4</v>
      </c>
      <c r="D226">
        <f>COUNTIF(D2:BD223,"Oui, sûrement")</f>
        <v>33</v>
      </c>
      <c r="E226">
        <f>COUNTIF(E2:BE223,"13 €.")</f>
        <v>42</v>
      </c>
      <c r="F226">
        <f>COUNTIF(F2:BF223,"Au plus 1 heure")</f>
        <v>68</v>
      </c>
      <c r="G226">
        <f>COUNTIF(G2:BG223,"Très intéressante")</f>
        <v>0</v>
      </c>
      <c r="H226">
        <f>COUNTIF(H2:BH223,"Très intéressante")</f>
        <v>0</v>
      </c>
      <c r="I226">
        <f>COUNTIF(I2:BI223,"En couple")</f>
        <v>60</v>
      </c>
      <c r="J226" s="16">
        <f>AVERAGE(J2:J223)</f>
        <v>1.8041958041958042</v>
      </c>
      <c r="K226">
        <f>COUNTIF(K2:BK223,"France métropolitaine")</f>
        <v>175</v>
      </c>
      <c r="L226">
        <f>COUNTIF(L2:BL223,"Moins d'1 semaine")</f>
        <v>52</v>
      </c>
      <c r="M226">
        <f>COUNTIF(M2:BM223,"Très intéressante")</f>
        <v>0</v>
      </c>
    </row>
    <row r="227" spans="1:13" ht="15.75" customHeight="1" x14ac:dyDescent="0.2">
      <c r="A227">
        <f>COUNTIF(A2:A223,"Intéressante")</f>
        <v>87</v>
      </c>
      <c r="B227">
        <f>COUNTIF(B2:B223,"Intéressantes")</f>
        <v>84</v>
      </c>
      <c r="C227">
        <f>COUNTIF(C2:C223,"Entre 1 heure et 1 heure 30")</f>
        <v>24</v>
      </c>
      <c r="D227">
        <f>COUNTIF(D2:D223,"Oui, à condition")</f>
        <v>102</v>
      </c>
      <c r="E227">
        <f>COUNTIF(E2:E223,"Au maximum 15 €.")</f>
        <v>73</v>
      </c>
      <c r="F227">
        <f>COUNTIF(F2:F223,"Au plus 1 heure 30")</f>
        <v>59</v>
      </c>
      <c r="G227">
        <f>COUNTIF(G2:G223,"Intéressante")</f>
        <v>0</v>
      </c>
      <c r="H227">
        <f>COUNTIF(H2:H223,"Intéressante")</f>
        <v>0</v>
      </c>
      <c r="I227">
        <f>COUNTIF(I2:I223,"Seul")</f>
        <v>16</v>
      </c>
      <c r="J227">
        <f>COUNTIF(J2:J223,"Intéressante")</f>
        <v>0</v>
      </c>
      <c r="K227">
        <f>COUNTIF(K2:K223,"Martinique")</f>
        <v>12</v>
      </c>
      <c r="L227">
        <f>COUNTIF(L2:L223,"Entre 1 et 2 semaines")</f>
        <v>131</v>
      </c>
      <c r="M227">
        <f>COUNTIF(M2:M223,"Intéressante")</f>
        <v>0</v>
      </c>
    </row>
    <row r="228" spans="1:13" ht="15.75" customHeight="1" x14ac:dyDescent="0.2">
      <c r="A228">
        <f>COUNTIF(A2:A223,"Sans opinion")</f>
        <v>1</v>
      </c>
      <c r="B228">
        <f>COUNTIF(B2:B223,"Sans opinion")</f>
        <v>47</v>
      </c>
      <c r="C228">
        <f>COUNTIF(C2:C223,"Entre 1 heure 30 et 2 heures")</f>
        <v>109</v>
      </c>
      <c r="D228">
        <f>COUNTIF(D2:D223,"Non, sûrement pas")</f>
        <v>87</v>
      </c>
      <c r="E228">
        <f>COUNTIF(E2:E223,"Entre 15 et 18 €.")</f>
        <v>19</v>
      </c>
      <c r="F228">
        <f>COUNTIF(F2:F223,"Au plus 2 heures")</f>
        <v>6</v>
      </c>
      <c r="G228">
        <f>COUNTIF(G2:G223,"Sans opinion")</f>
        <v>0</v>
      </c>
      <c r="H228">
        <f>COUNTIF(H2:H223,"Sans opinion")</f>
        <v>0</v>
      </c>
      <c r="I228">
        <f>COUNTIF(I2:I223,"En famille")</f>
        <v>142</v>
      </c>
      <c r="J228">
        <f>COUNTIF(J2:J223,"Sans opinion")</f>
        <v>0</v>
      </c>
      <c r="K228">
        <f>COUNTIF(K2:K223,"Guadeloupe")</f>
        <v>24</v>
      </c>
      <c r="L228">
        <f>COUNTIF(L2:L223,"Entre 2 et 3 semaines")</f>
        <v>18</v>
      </c>
      <c r="M228">
        <f>COUNTIF(M2:M223,"Sans opinion")</f>
        <v>0</v>
      </c>
    </row>
    <row r="229" spans="1:13" ht="15.75" customHeight="1" x14ac:dyDescent="0.2">
      <c r="A229">
        <f>COUNTIF(A2:A223,"Peu intéressante")</f>
        <v>9</v>
      </c>
      <c r="B229">
        <f>COUNTIF(B2:B223,"Peu intéressantes")</f>
        <v>3</v>
      </c>
      <c r="C229">
        <f>COUNTIF(C2:C223,"Entre 2 heures  et 2 heures 30")</f>
        <v>73</v>
      </c>
      <c r="E229">
        <f>COUNTIF(E2:E223,"Plus de 18 €.")</f>
        <v>0</v>
      </c>
      <c r="G229">
        <f>COUNTIF(G2:G223,"Peu intéressante")</f>
        <v>0</v>
      </c>
      <c r="H229">
        <f>COUNTIF(H2:H223,"Peu intéressante")</f>
        <v>0</v>
      </c>
      <c r="I229">
        <f>COUNTIF(I2:I223,"En groupe")</f>
        <v>0</v>
      </c>
      <c r="J229">
        <f>COUNTIF(J2:J223,"Peu intéressante")</f>
        <v>0</v>
      </c>
      <c r="K229">
        <f>COUNTIF(K2:K223,"Peu intéressante")</f>
        <v>0</v>
      </c>
      <c r="L229">
        <f>COUNTIF(L2:L223,"Plus de 3 semaines")</f>
        <v>8</v>
      </c>
      <c r="M229">
        <f>COUNTIF(M2:M223,"Peu intéressante")</f>
        <v>0</v>
      </c>
    </row>
    <row r="230" spans="1:13" ht="15.75" customHeight="1" x14ac:dyDescent="0.2">
      <c r="C230">
        <f>COUNTIF(C2:C223,"Plus de 2 heures 30")</f>
        <v>12</v>
      </c>
    </row>
    <row r="231" spans="1:13" ht="15.75" customHeight="1" x14ac:dyDescent="0.2">
      <c r="A231">
        <f>SUM(A226:A230)</f>
        <v>222</v>
      </c>
      <c r="B231">
        <f t="shared" ref="B231:M231" si="0">SUM(B226:B230)</f>
        <v>222</v>
      </c>
      <c r="C231">
        <f t="shared" si="0"/>
        <v>222</v>
      </c>
      <c r="D231">
        <f t="shared" si="0"/>
        <v>222</v>
      </c>
      <c r="E231">
        <f t="shared" si="0"/>
        <v>134</v>
      </c>
      <c r="F231">
        <f t="shared" si="0"/>
        <v>133</v>
      </c>
      <c r="G231">
        <f t="shared" si="0"/>
        <v>0</v>
      </c>
      <c r="H231">
        <f t="shared" si="0"/>
        <v>0</v>
      </c>
      <c r="I231">
        <f t="shared" si="0"/>
        <v>218</v>
      </c>
      <c r="J231" s="16">
        <f t="shared" si="0"/>
        <v>1.8041958041958042</v>
      </c>
      <c r="K231">
        <f t="shared" si="0"/>
        <v>211</v>
      </c>
      <c r="L231">
        <f t="shared" si="0"/>
        <v>209</v>
      </c>
      <c r="M231">
        <f t="shared" si="0"/>
        <v>0</v>
      </c>
    </row>
  </sheetData>
  <autoFilter ref="A1:M224" xr:uid="{00000000-0009-0000-0000-000004000000}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221F20-6D67-4F09-80F2-D35B1373C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84A0C-4312-426A-A7B9-2BC7583AB3D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6C4FEE2-9D9B-4DD1-B4A1-9125DC8DFD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Q4-Q9</vt:lpstr>
      <vt:lpstr>Q4-Q11</vt:lpstr>
      <vt:lpstr>Q4-Q12</vt:lpstr>
      <vt:lpstr>Q6-Q9</vt:lpstr>
      <vt:lpstr>Réponses au formulaire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chaupart</dc:creator>
  <cp:lastModifiedBy>BATALLAN CHLOE</cp:lastModifiedBy>
  <dcterms:created xsi:type="dcterms:W3CDTF">2018-09-14T20:28:53Z</dcterms:created>
  <dcterms:modified xsi:type="dcterms:W3CDTF">2022-04-25T09:45:07Z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