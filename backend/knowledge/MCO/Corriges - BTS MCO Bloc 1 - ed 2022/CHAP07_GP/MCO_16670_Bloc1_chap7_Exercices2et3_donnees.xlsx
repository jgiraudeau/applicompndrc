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MCO BLOC 1/CHAP07_GP/"/>
    </mc:Choice>
  </mc:AlternateContent>
  <xr:revisionPtr revIDLastSave="3" documentId="8_{86A607D1-990B-4B48-9344-043666D16E88}" xr6:coauthVersionLast="47" xr6:coauthVersionMax="47" xr10:uidLastSave="{EABE5C82-53C2-4355-ACB1-CDCC97338CE4}"/>
  <bookViews>
    <workbookView xWindow="3645" yWindow="1140" windowWidth="18000" windowHeight="12735" xr2:uid="{E18CBDB0-F1E9-48F7-82C8-62B5B577746D}"/>
  </bookViews>
  <sheets>
    <sheet name="exercice 2" sheetId="2" r:id="rId1"/>
    <sheet name="Exercice 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3" l="1"/>
  <c r="AD9" i="3"/>
  <c r="S7" i="3"/>
  <c r="P9" i="3"/>
  <c r="L11" i="3"/>
  <c r="I7" i="3"/>
  <c r="I8" i="3"/>
  <c r="I6" i="3"/>
  <c r="D7" i="3"/>
  <c r="D8" i="3"/>
  <c r="D6" i="3"/>
  <c r="C9" i="3"/>
  <c r="E9" i="3"/>
  <c r="F9" i="3"/>
  <c r="G9" i="3"/>
  <c r="H9" i="3"/>
  <c r="B9" i="3"/>
  <c r="I9" i="3" l="1"/>
  <c r="D9" i="3"/>
  <c r="AL10" i="2"/>
  <c r="AM10" i="2"/>
  <c r="AK10" i="2"/>
  <c r="AD4" i="2"/>
</calcChain>
</file>

<file path=xl/sharedStrings.xml><?xml version="1.0" encoding="utf-8"?>
<sst xmlns="http://schemas.openxmlformats.org/spreadsheetml/2006/main" count="59" uniqueCount="55">
  <si>
    <t xml:space="preserve">évolution du nombre de fournisseurs </t>
  </si>
  <si>
    <t xml:space="preserve">Provenance des jouets en 2019 en % </t>
  </si>
  <si>
    <t xml:space="preserve">Chine </t>
  </si>
  <si>
    <t>Allemagne</t>
  </si>
  <si>
    <t>Rép Tchèque</t>
  </si>
  <si>
    <t>Pays Bas</t>
  </si>
  <si>
    <t xml:space="preserve">Espagne </t>
  </si>
  <si>
    <t>Italie</t>
  </si>
  <si>
    <t>Royaume Uni</t>
  </si>
  <si>
    <t>Divers</t>
  </si>
  <si>
    <t xml:space="preserve">évolution du nombre de références </t>
  </si>
  <si>
    <t xml:space="preserve">nombre de références total </t>
  </si>
  <si>
    <t>Calcul du % de références du rayon "jouets" par rapport au nombre total de références de l'UC</t>
  </si>
  <si>
    <t xml:space="preserve">Jouets </t>
  </si>
  <si>
    <t>Total</t>
  </si>
  <si>
    <t>Exercice 2</t>
  </si>
  <si>
    <t xml:space="preserve">mangez-vous du chocolat ? </t>
  </si>
  <si>
    <t xml:space="preserve">Jamais </t>
  </si>
  <si>
    <t xml:space="preserve">Occasionnellement </t>
  </si>
  <si>
    <t xml:space="preserve">Souvent </t>
  </si>
  <si>
    <t xml:space="preserve">Hommes </t>
  </si>
  <si>
    <t xml:space="preserve">Femmes </t>
  </si>
  <si>
    <t>18/25 ans</t>
  </si>
  <si>
    <t xml:space="preserve">26/35 ans </t>
  </si>
  <si>
    <t xml:space="preserve">36/49 ans </t>
  </si>
  <si>
    <t>+ de 50 ans</t>
  </si>
  <si>
    <t xml:space="preserve">Quel sexe ? </t>
  </si>
  <si>
    <t>Quelle tranche d'âge ?</t>
  </si>
  <si>
    <t xml:space="preserve">Total </t>
  </si>
  <si>
    <t>Où achetez-vous vos chocolats ? (Plusieurs réponses possibles)</t>
  </si>
  <si>
    <t xml:space="preserve">Grandes surfaces </t>
  </si>
  <si>
    <t>Chocolatier</t>
  </si>
  <si>
    <t>Internet</t>
  </si>
  <si>
    <t>Commerce de luxe</t>
  </si>
  <si>
    <t xml:space="preserve">Autres </t>
  </si>
  <si>
    <t>Boulanger/ pâtissier</t>
  </si>
  <si>
    <t xml:space="preserve">Pour quelles occasions achetez-vous du chocolat ? </t>
  </si>
  <si>
    <t>Pour les fêtes</t>
  </si>
  <si>
    <t>Pour faire un cadeau</t>
  </si>
  <si>
    <t>Pour se faire plaisir</t>
  </si>
  <si>
    <t xml:space="preserve">Autre </t>
  </si>
  <si>
    <t xml:space="preserve">Connaissez-vous Jeff de Bruges ? </t>
  </si>
  <si>
    <t xml:space="preserve">Oui </t>
  </si>
  <si>
    <t>Non</t>
  </si>
  <si>
    <t xml:space="preserve">Si oui, avez-vous déjà acheté chez Jeff de Bruges ? </t>
  </si>
  <si>
    <t xml:space="preserve">Si non, pourquoi n'avez-vous jamais acheté chez Jeff de Bruges ? </t>
  </si>
  <si>
    <t>Pas de magasin près de chez moi</t>
  </si>
  <si>
    <t>Prix trop élevés</t>
  </si>
  <si>
    <t xml:space="preserve">Qualité insuffisante </t>
  </si>
  <si>
    <t>Manque de choix</t>
  </si>
  <si>
    <t xml:space="preserve">Je ne sais pas </t>
  </si>
  <si>
    <t xml:space="preserve">Quelle image avez-vous de Jeff de Bruges ? </t>
  </si>
  <si>
    <t xml:space="preserve">Bonne image </t>
  </si>
  <si>
    <t xml:space="preserve">Aucune image </t>
  </si>
  <si>
    <t xml:space="preserve">Mauvaise image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</si>
</sst>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2" fillId="0" borderId="1" xfId="0" applyFont="1" applyBorder="1" applyAlignment="1"/>
    <xf numFmtId="0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/>
    </xf>
    <xf numFmtId="15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459C-8FC4-4064-A468-5D929A7E73DA}">
  <dimension ref="A2:AR10"/>
  <sheetViews>
    <sheetView tabSelected="1" topLeftCell="AM1" workbookViewId="0">
      <selection activeCell="AQ3" sqref="AQ3:AR4"/>
    </sheetView>
  </sheetViews>
  <sheetFormatPr baseColWidth="10" defaultRowHeight="15" x14ac:dyDescent="0.25"/>
  <cols>
    <col min="1" max="21" width="5.28515625" customWidth="1"/>
    <col min="24" max="24" width="12.140625" customWidth="1"/>
    <col min="29" max="29" width="12.42578125" customWidth="1"/>
  </cols>
  <sheetData>
    <row r="2" spans="1:44" x14ac:dyDescent="0.25">
      <c r="A2" t="s">
        <v>0</v>
      </c>
      <c r="W2" t="s">
        <v>1</v>
      </c>
      <c r="AF2" t="s">
        <v>10</v>
      </c>
      <c r="AK2" t="s">
        <v>11</v>
      </c>
    </row>
    <row r="3" spans="1:44" x14ac:dyDescent="0.25">
      <c r="A3" s="3">
        <v>1999</v>
      </c>
      <c r="B3" s="3">
        <v>2000</v>
      </c>
      <c r="C3" s="3">
        <v>2001</v>
      </c>
      <c r="D3" s="3">
        <v>2002</v>
      </c>
      <c r="E3" s="3">
        <v>2003</v>
      </c>
      <c r="F3" s="3">
        <v>2004</v>
      </c>
      <c r="G3" s="3">
        <v>2005</v>
      </c>
      <c r="H3" s="3">
        <v>2006</v>
      </c>
      <c r="I3" s="3">
        <v>2007</v>
      </c>
      <c r="J3" s="3">
        <v>2008</v>
      </c>
      <c r="K3" s="3">
        <v>2009</v>
      </c>
      <c r="L3" s="3">
        <v>2010</v>
      </c>
      <c r="M3" s="3">
        <v>2011</v>
      </c>
      <c r="N3" s="3">
        <v>2012</v>
      </c>
      <c r="O3" s="3">
        <v>2013</v>
      </c>
      <c r="P3" s="3">
        <v>2014</v>
      </c>
      <c r="Q3" s="3">
        <v>2015</v>
      </c>
      <c r="R3" s="3">
        <v>2016</v>
      </c>
      <c r="S3" s="3">
        <v>2017</v>
      </c>
      <c r="T3" s="3">
        <v>2018</v>
      </c>
      <c r="U3" s="3">
        <v>2019</v>
      </c>
      <c r="W3" s="5" t="s">
        <v>2</v>
      </c>
      <c r="X3" s="5" t="s">
        <v>4</v>
      </c>
      <c r="Y3" s="5" t="s">
        <v>3</v>
      </c>
      <c r="Z3" s="5" t="s">
        <v>5</v>
      </c>
      <c r="AA3" s="5" t="s">
        <v>6</v>
      </c>
      <c r="AB3" s="5" t="s">
        <v>7</v>
      </c>
      <c r="AC3" s="5" t="s">
        <v>8</v>
      </c>
      <c r="AD3" s="5" t="s">
        <v>9</v>
      </c>
      <c r="AF3" s="8">
        <v>2000</v>
      </c>
      <c r="AG3" s="8">
        <v>2010</v>
      </c>
      <c r="AH3" s="8">
        <v>2019</v>
      </c>
      <c r="AK3" s="8">
        <v>2000</v>
      </c>
      <c r="AL3" s="8">
        <v>2010</v>
      </c>
      <c r="AM3" s="8">
        <v>2019</v>
      </c>
      <c r="AQ3" s="10" t="s">
        <v>13</v>
      </c>
      <c r="AR3" s="7">
        <v>3052</v>
      </c>
    </row>
    <row r="4" spans="1:44" x14ac:dyDescent="0.25">
      <c r="A4" s="2">
        <v>123</v>
      </c>
      <c r="B4" s="2">
        <v>125</v>
      </c>
      <c r="C4" s="2">
        <v>154</v>
      </c>
      <c r="D4" s="2">
        <v>156</v>
      </c>
      <c r="E4" s="2">
        <v>165</v>
      </c>
      <c r="F4" s="2">
        <v>167</v>
      </c>
      <c r="G4" s="2">
        <v>187</v>
      </c>
      <c r="H4" s="2">
        <v>188</v>
      </c>
      <c r="I4" s="2">
        <v>190</v>
      </c>
      <c r="J4" s="2">
        <v>200</v>
      </c>
      <c r="K4" s="2">
        <v>202</v>
      </c>
      <c r="L4" s="2">
        <v>201</v>
      </c>
      <c r="M4" s="2">
        <v>210</v>
      </c>
      <c r="N4" s="2">
        <v>210</v>
      </c>
      <c r="O4" s="2">
        <v>176</v>
      </c>
      <c r="P4" s="2">
        <v>200</v>
      </c>
      <c r="Q4" s="2">
        <v>202</v>
      </c>
      <c r="R4" s="2">
        <v>197</v>
      </c>
      <c r="S4" s="2">
        <v>178</v>
      </c>
      <c r="T4" s="2">
        <v>180</v>
      </c>
      <c r="U4" s="2">
        <v>180</v>
      </c>
      <c r="W4" s="4">
        <v>69.5</v>
      </c>
      <c r="X4" s="1">
        <v>9.8000000000000007</v>
      </c>
      <c r="Y4" s="1">
        <v>6.2</v>
      </c>
      <c r="Z4" s="1">
        <v>3.2</v>
      </c>
      <c r="AA4" s="1">
        <v>2.9</v>
      </c>
      <c r="AB4" s="1">
        <v>2.5</v>
      </c>
      <c r="AC4" s="1">
        <v>1.8</v>
      </c>
      <c r="AD4" s="1">
        <f>100-SUM(W4,X4,Y4,Z4,AA4,AB4,AC4)</f>
        <v>4.0999999999999943</v>
      </c>
      <c r="AF4" s="7">
        <v>2618</v>
      </c>
      <c r="AG4" s="7">
        <v>2898</v>
      </c>
      <c r="AH4" s="7">
        <v>3052</v>
      </c>
      <c r="AK4" s="6">
        <v>72236</v>
      </c>
      <c r="AL4" s="6">
        <v>75346</v>
      </c>
      <c r="AM4" s="6">
        <v>78982</v>
      </c>
      <c r="AQ4" s="11" t="s">
        <v>14</v>
      </c>
      <c r="AR4" s="6">
        <v>78982</v>
      </c>
    </row>
    <row r="7" spans="1:44" x14ac:dyDescent="0.25">
      <c r="AK7" t="s">
        <v>12</v>
      </c>
    </row>
    <row r="9" spans="1:44" x14ac:dyDescent="0.25">
      <c r="AK9" s="8">
        <v>2000</v>
      </c>
      <c r="AL9" s="8">
        <v>2010</v>
      </c>
      <c r="AM9" s="8">
        <v>2019</v>
      </c>
    </row>
    <row r="10" spans="1:44" x14ac:dyDescent="0.25">
      <c r="AK10" s="9">
        <f>AF4/AK4</f>
        <v>3.624231685032394E-2</v>
      </c>
      <c r="AL10" s="9">
        <f t="shared" ref="AL10:AM10" si="0">AG4/AL4</f>
        <v>3.8462559392668488E-2</v>
      </c>
      <c r="AM10" s="9">
        <f t="shared" si="0"/>
        <v>3.864171583398749E-2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14DB-46E4-45EB-9A4D-4F272C89A16E}">
  <dimension ref="A1:AD11"/>
  <sheetViews>
    <sheetView workbookViewId="0">
      <selection activeCell="Q9" sqref="Q9"/>
    </sheetView>
  </sheetViews>
  <sheetFormatPr baseColWidth="10" defaultRowHeight="15" x14ac:dyDescent="0.25"/>
  <cols>
    <col min="1" max="1" width="18.140625" customWidth="1"/>
    <col min="11" max="11" width="20" customWidth="1"/>
    <col min="15" max="15" width="18.7109375" customWidth="1"/>
    <col min="25" max="25" width="18.5703125" customWidth="1"/>
    <col min="29" max="29" width="16.140625" customWidth="1"/>
  </cols>
  <sheetData>
    <row r="1" spans="1:30" x14ac:dyDescent="0.25">
      <c r="A1" t="s">
        <v>15</v>
      </c>
    </row>
    <row r="3" spans="1:30" x14ac:dyDescent="0.25">
      <c r="A3" t="s">
        <v>16</v>
      </c>
      <c r="K3" t="s">
        <v>29</v>
      </c>
      <c r="R3" t="s">
        <v>41</v>
      </c>
      <c r="Y3" t="s">
        <v>45</v>
      </c>
    </row>
    <row r="4" spans="1:30" x14ac:dyDescent="0.25">
      <c r="A4" s="12"/>
      <c r="B4" s="17" t="s">
        <v>26</v>
      </c>
      <c r="C4" s="17"/>
      <c r="D4" s="17"/>
      <c r="E4" s="17" t="s">
        <v>27</v>
      </c>
      <c r="F4" s="17"/>
      <c r="G4" s="17"/>
      <c r="H4" s="17"/>
      <c r="I4" s="17"/>
      <c r="O4" t="s">
        <v>36</v>
      </c>
      <c r="U4" t="s">
        <v>44</v>
      </c>
      <c r="AC4" t="s">
        <v>51</v>
      </c>
    </row>
    <row r="5" spans="1:30" ht="30" x14ac:dyDescent="0.25">
      <c r="A5" s="12"/>
      <c r="B5" s="8" t="s">
        <v>20</v>
      </c>
      <c r="C5" s="8" t="s">
        <v>21</v>
      </c>
      <c r="D5" s="8" t="s">
        <v>14</v>
      </c>
      <c r="E5" s="8" t="s">
        <v>22</v>
      </c>
      <c r="F5" s="8" t="s">
        <v>23</v>
      </c>
      <c r="G5" s="8" t="s">
        <v>24</v>
      </c>
      <c r="H5" s="13" t="s">
        <v>25</v>
      </c>
      <c r="I5" s="8" t="s">
        <v>28</v>
      </c>
      <c r="K5" s="14" t="s">
        <v>30</v>
      </c>
      <c r="L5" s="11">
        <v>623</v>
      </c>
      <c r="O5" s="15" t="s">
        <v>37</v>
      </c>
      <c r="P5" s="11">
        <v>574</v>
      </c>
      <c r="R5" s="5" t="s">
        <v>42</v>
      </c>
      <c r="S5" s="1">
        <v>546</v>
      </c>
      <c r="U5" s="5" t="s">
        <v>42</v>
      </c>
      <c r="V5" s="1">
        <v>234</v>
      </c>
      <c r="Y5" s="16" t="s">
        <v>46</v>
      </c>
      <c r="Z5" s="1">
        <v>123</v>
      </c>
    </row>
    <row r="6" spans="1:30" x14ac:dyDescent="0.25">
      <c r="A6" s="8" t="s">
        <v>17</v>
      </c>
      <c r="B6" s="12">
        <v>23</v>
      </c>
      <c r="C6" s="12">
        <v>14</v>
      </c>
      <c r="D6" s="12">
        <f>SUM(B6:C6)</f>
        <v>37</v>
      </c>
      <c r="E6" s="12">
        <v>32</v>
      </c>
      <c r="F6" s="12">
        <v>23</v>
      </c>
      <c r="G6" s="12">
        <v>12</v>
      </c>
      <c r="H6" s="12">
        <v>23</v>
      </c>
      <c r="I6" s="12">
        <f>SUM(E6:H6)</f>
        <v>90</v>
      </c>
      <c r="K6" s="15" t="s">
        <v>31</v>
      </c>
      <c r="L6" s="11">
        <v>125</v>
      </c>
      <c r="O6" s="15" t="s">
        <v>38</v>
      </c>
      <c r="P6" s="11">
        <v>432</v>
      </c>
      <c r="R6" s="5" t="s">
        <v>43</v>
      </c>
      <c r="S6" s="1">
        <v>104</v>
      </c>
      <c r="U6" s="5" t="s">
        <v>43</v>
      </c>
      <c r="V6" s="1">
        <v>312</v>
      </c>
      <c r="Y6" s="15" t="s">
        <v>47</v>
      </c>
      <c r="Z6" s="1">
        <v>234</v>
      </c>
      <c r="AC6" s="15" t="s">
        <v>52</v>
      </c>
      <c r="AD6" s="11">
        <v>345</v>
      </c>
    </row>
    <row r="7" spans="1:30" x14ac:dyDescent="0.25">
      <c r="A7" s="8" t="s">
        <v>18</v>
      </c>
      <c r="B7" s="12">
        <v>87</v>
      </c>
      <c r="C7" s="12">
        <v>110</v>
      </c>
      <c r="D7" s="12">
        <f t="shared" ref="D7:D8" si="0">SUM(B7:C7)</f>
        <v>197</v>
      </c>
      <c r="E7" s="12">
        <v>89</v>
      </c>
      <c r="F7" s="12">
        <v>90</v>
      </c>
      <c r="G7" s="12">
        <v>56</v>
      </c>
      <c r="H7" s="12">
        <v>45</v>
      </c>
      <c r="I7" s="12">
        <f t="shared" ref="I7:I8" si="1">SUM(E7:H7)</f>
        <v>280</v>
      </c>
      <c r="K7" s="15" t="s">
        <v>35</v>
      </c>
      <c r="L7" s="11">
        <v>132</v>
      </c>
      <c r="O7" s="15" t="s">
        <v>39</v>
      </c>
      <c r="P7" s="11">
        <v>598</v>
      </c>
      <c r="S7">
        <f>SUM(S5:S6)</f>
        <v>650</v>
      </c>
      <c r="V7">
        <f>SUM(V5:V6)</f>
        <v>546</v>
      </c>
      <c r="Y7" s="15" t="s">
        <v>48</v>
      </c>
      <c r="Z7" s="1">
        <v>12</v>
      </c>
      <c r="AC7" s="15" t="s">
        <v>53</v>
      </c>
      <c r="AD7" s="11">
        <v>229</v>
      </c>
    </row>
    <row r="8" spans="1:30" x14ac:dyDescent="0.25">
      <c r="A8" s="8" t="s">
        <v>19</v>
      </c>
      <c r="B8" s="12">
        <v>187</v>
      </c>
      <c r="C8" s="12">
        <v>229</v>
      </c>
      <c r="D8" s="12">
        <f t="shared" si="0"/>
        <v>416</v>
      </c>
      <c r="E8" s="12">
        <v>27</v>
      </c>
      <c r="F8" s="12">
        <v>43</v>
      </c>
      <c r="G8" s="12">
        <v>98</v>
      </c>
      <c r="H8" s="12">
        <v>112</v>
      </c>
      <c r="I8" s="12">
        <f t="shared" si="1"/>
        <v>280</v>
      </c>
      <c r="K8" s="15" t="s">
        <v>32</v>
      </c>
      <c r="L8" s="11">
        <v>27</v>
      </c>
      <c r="O8" s="15" t="s">
        <v>40</v>
      </c>
      <c r="P8" s="11">
        <v>4</v>
      </c>
      <c r="Y8" s="15" t="s">
        <v>49</v>
      </c>
      <c r="Z8" s="1">
        <v>34</v>
      </c>
      <c r="AC8" s="15" t="s">
        <v>54</v>
      </c>
      <c r="AD8" s="11">
        <v>76</v>
      </c>
    </row>
    <row r="9" spans="1:30" x14ac:dyDescent="0.25">
      <c r="A9" s="8" t="s">
        <v>28</v>
      </c>
      <c r="B9" s="12">
        <f>SUM(B6:B8)</f>
        <v>297</v>
      </c>
      <c r="C9" s="12">
        <f t="shared" ref="C9:H9" si="2">SUM(C6:C8)</f>
        <v>353</v>
      </c>
      <c r="D9" s="12">
        <f t="shared" si="2"/>
        <v>650</v>
      </c>
      <c r="E9" s="12">
        <f t="shared" si="2"/>
        <v>148</v>
      </c>
      <c r="F9" s="12">
        <f t="shared" si="2"/>
        <v>156</v>
      </c>
      <c r="G9" s="12">
        <f t="shared" si="2"/>
        <v>166</v>
      </c>
      <c r="H9" s="12">
        <f t="shared" si="2"/>
        <v>180</v>
      </c>
      <c r="I9" s="12">
        <f>SUM(E9:H9)</f>
        <v>650</v>
      </c>
      <c r="K9" s="15" t="s">
        <v>33</v>
      </c>
      <c r="L9" s="11">
        <v>87</v>
      </c>
      <c r="P9">
        <f>SUM(P5:P8)</f>
        <v>1608</v>
      </c>
      <c r="Y9" s="15" t="s">
        <v>50</v>
      </c>
      <c r="Z9" s="1">
        <v>67</v>
      </c>
      <c r="AD9">
        <f>SUM(AD6:AD8)</f>
        <v>650</v>
      </c>
    </row>
    <row r="10" spans="1:30" x14ac:dyDescent="0.25">
      <c r="K10" s="15" t="s">
        <v>34</v>
      </c>
      <c r="L10" s="11">
        <v>3</v>
      </c>
    </row>
    <row r="11" spans="1:30" x14ac:dyDescent="0.25">
      <c r="L11">
        <f>SUM(L5:L10)</f>
        <v>997</v>
      </c>
    </row>
  </sheetData>
  <mergeCells count="2">
    <mergeCell ref="E4:I4"/>
    <mergeCell ref="B4:D4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77B852-53BC-4F28-BCC0-C1E0D8A8E36C}">
  <ds:schemaRefs>
    <ds:schemaRef ds:uri="http://schemas.microsoft.com/office/2006/metadata/properties"/>
    <ds:schemaRef ds:uri="http://schemas.microsoft.com/office/infopath/2007/PartnerControls"/>
    <ds:schemaRef ds:uri="83a265cd-4431-46b8-a7ba-0250525921fc"/>
    <ds:schemaRef ds:uri="82905250-58d4-4cac-bb0d-b4661e42aa10"/>
  </ds:schemaRefs>
</ds:datastoreItem>
</file>

<file path=customXml/itemProps2.xml><?xml version="1.0" encoding="utf-8"?>
<ds:datastoreItem xmlns:ds="http://schemas.openxmlformats.org/officeDocument/2006/customXml" ds:itemID="{B248BAE7-85E6-47E6-AF31-A6D93CCF80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2EB397-AC57-4C6F-9BE1-E6F27293BD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05250-58d4-4cac-bb0d-b4661e42aa10"/>
    <ds:schemaRef ds:uri="83a265cd-4431-46b8-a7ba-0250525921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exercice 2</vt:lpstr>
      <vt:lpstr>Exercice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chaupart</dc:creator>
  <cp:lastModifiedBy>SARAIVA-LAFON AURELIE</cp:lastModifiedBy>
  <dcterms:created xsi:type="dcterms:W3CDTF">2018-10-04T13:55:12Z</dcterms:created>
  <dcterms:modified xsi:type="dcterms:W3CDTF">2022-05-20T09:22:40Z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