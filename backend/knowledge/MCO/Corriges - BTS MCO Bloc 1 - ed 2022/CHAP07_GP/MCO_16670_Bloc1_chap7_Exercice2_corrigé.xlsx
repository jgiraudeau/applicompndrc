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cbatallan_editions-foucher_fr/Documents/Documents/MCO/16521_MCO BLOC1_GUIDE PEDAGOGIQUE/CHAP07_GP/"/>
    </mc:Choice>
  </mc:AlternateContent>
  <xr:revisionPtr revIDLastSave="0" documentId="13_ncr:1_{8318A1BD-9829-4219-B78D-380B8E3596F5}" xr6:coauthVersionLast="47" xr6:coauthVersionMax="47" xr10:uidLastSave="{00000000-0000-0000-0000-000000000000}"/>
  <bookViews>
    <workbookView xWindow="390" yWindow="390" windowWidth="21360" windowHeight="15180" xr2:uid="{E18CBDB0-F1E9-48F7-82C8-62B5B577746D}"/>
  </bookViews>
  <sheets>
    <sheet name="exercice 1-corrigé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" i="4" l="1"/>
  <c r="AL10" i="4"/>
  <c r="AK10" i="4"/>
  <c r="AD4" i="4"/>
</calcChain>
</file>

<file path=xl/sharedStrings.xml><?xml version="1.0" encoding="utf-8"?>
<sst xmlns="http://schemas.openxmlformats.org/spreadsheetml/2006/main" count="14" uniqueCount="14">
  <si>
    <t xml:space="preserve">évolution du nombre de fournisseurs </t>
  </si>
  <si>
    <t xml:space="preserve">Provenance des jouets en 2019 en % </t>
  </si>
  <si>
    <t xml:space="preserve">Chine </t>
  </si>
  <si>
    <t>Allemagne</t>
  </si>
  <si>
    <t>Rép Tchèque</t>
  </si>
  <si>
    <t>Pays Bas</t>
  </si>
  <si>
    <t xml:space="preserve">Espagne </t>
  </si>
  <si>
    <t>Italie</t>
  </si>
  <si>
    <t>Royaume Uni</t>
  </si>
  <si>
    <t>Divers</t>
  </si>
  <si>
    <t xml:space="preserve">évolution du nombre de références </t>
  </si>
  <si>
    <t xml:space="preserve">nombre de références total </t>
  </si>
  <si>
    <t>Calcul du % de références du rayon "jouets" par rapport au nombre total de références de l'UC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</si>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</sst>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évolution du nombre de fournisseurs</a:t>
            </a:r>
            <a:r>
              <a:rPr lang="fr-FR" sz="1200" baseline="0"/>
              <a:t> Rayon Jouets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'exercice 1-corrigé'!$A$3:$U$3</c:f>
              <c:numCache>
                <c:formatCode>General</c:formatCod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numCache>
            </c:numRef>
          </c:cat>
          <c:val>
            <c:numRef>
              <c:f>'exercice 1-corrigé'!$A$4:$U$4</c:f>
              <c:numCache>
                <c:formatCode>General</c:formatCode>
                <c:ptCount val="21"/>
                <c:pt idx="0">
                  <c:v>123</c:v>
                </c:pt>
                <c:pt idx="1">
                  <c:v>125</c:v>
                </c:pt>
                <c:pt idx="2">
                  <c:v>154</c:v>
                </c:pt>
                <c:pt idx="3">
                  <c:v>156</c:v>
                </c:pt>
                <c:pt idx="4">
                  <c:v>165</c:v>
                </c:pt>
                <c:pt idx="5">
                  <c:v>167</c:v>
                </c:pt>
                <c:pt idx="6">
                  <c:v>187</c:v>
                </c:pt>
                <c:pt idx="7">
                  <c:v>188</c:v>
                </c:pt>
                <c:pt idx="8">
                  <c:v>190</c:v>
                </c:pt>
                <c:pt idx="9">
                  <c:v>200</c:v>
                </c:pt>
                <c:pt idx="10">
                  <c:v>202</c:v>
                </c:pt>
                <c:pt idx="11">
                  <c:v>201</c:v>
                </c:pt>
                <c:pt idx="12">
                  <c:v>210</c:v>
                </c:pt>
                <c:pt idx="13">
                  <c:v>210</c:v>
                </c:pt>
                <c:pt idx="14">
                  <c:v>176</c:v>
                </c:pt>
                <c:pt idx="15">
                  <c:v>200</c:v>
                </c:pt>
                <c:pt idx="16">
                  <c:v>202</c:v>
                </c:pt>
                <c:pt idx="17">
                  <c:v>197</c:v>
                </c:pt>
                <c:pt idx="18">
                  <c:v>178</c:v>
                </c:pt>
                <c:pt idx="19">
                  <c:v>180</c:v>
                </c:pt>
                <c:pt idx="2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E-4D8B-82B2-E1342C33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077360"/>
        <c:axId val="530605064"/>
      </c:lineChart>
      <c:catAx>
        <c:axId val="5300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605064"/>
        <c:crosses val="autoZero"/>
        <c:auto val="1"/>
        <c:lblAlgn val="ctr"/>
        <c:lblOffset val="100"/>
        <c:noMultiLvlLbl val="0"/>
      </c:catAx>
      <c:valAx>
        <c:axId val="53060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0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Provenance géographique</a:t>
            </a:r>
            <a:r>
              <a:rPr lang="fr-FR" baseline="0"/>
              <a:t> des jouets en %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2-496C-B5A2-E0F91E8F03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2-496C-B5A2-E0F91E8F03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62-496C-B5A2-E0F91E8F03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62-496C-B5A2-E0F91E8F03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62-496C-B5A2-E0F91E8F03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62-496C-B5A2-E0F91E8F03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62-496C-B5A2-E0F91E8F03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62-496C-B5A2-E0F91E8F03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08-47CF-89E4-2B1B3576ED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1-corrigé'!$W$3:$AD$3</c:f>
              <c:strCache>
                <c:ptCount val="8"/>
                <c:pt idx="0">
                  <c:v>Chine </c:v>
                </c:pt>
                <c:pt idx="1">
                  <c:v>Rép Tchèque</c:v>
                </c:pt>
                <c:pt idx="2">
                  <c:v>Allemagne</c:v>
                </c:pt>
                <c:pt idx="3">
                  <c:v>Pays Bas</c:v>
                </c:pt>
                <c:pt idx="4">
                  <c:v>Espagne </c:v>
                </c:pt>
                <c:pt idx="5">
                  <c:v>Italie</c:v>
                </c:pt>
                <c:pt idx="6">
                  <c:v>Royaume Uni</c:v>
                </c:pt>
                <c:pt idx="7">
                  <c:v>Divers</c:v>
                </c:pt>
              </c:strCache>
            </c:strRef>
          </c:cat>
          <c:val>
            <c:numRef>
              <c:f>'exercice 1-corrigé'!$W$4:$AD$4</c:f>
              <c:numCache>
                <c:formatCode>General</c:formatCode>
                <c:ptCount val="8"/>
                <c:pt idx="0">
                  <c:v>69.5</c:v>
                </c:pt>
                <c:pt idx="1">
                  <c:v>9.8000000000000007</c:v>
                </c:pt>
                <c:pt idx="2">
                  <c:v>6.2</c:v>
                </c:pt>
                <c:pt idx="3">
                  <c:v>3.2</c:v>
                </c:pt>
                <c:pt idx="4">
                  <c:v>2.9</c:v>
                </c:pt>
                <c:pt idx="5">
                  <c:v>2.5</c:v>
                </c:pt>
                <c:pt idx="6">
                  <c:v>1.8</c:v>
                </c:pt>
                <c:pt idx="7">
                  <c:v>4.0999999999999943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62-496C-B5A2-E0F91E8F0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5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Evolution</a:t>
            </a:r>
            <a:r>
              <a:rPr lang="fr-FR" sz="1200" baseline="0"/>
              <a:t> du nombre de références du rayon jouets</a:t>
            </a:r>
            <a:endParaRPr lang="fr-FR" sz="1200"/>
          </a:p>
        </c:rich>
      </c:tx>
      <c:layout>
        <c:manualLayout>
          <c:xMode val="edge"/>
          <c:yMode val="edge"/>
          <c:x val="0.1453333333333333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5">
                  <a:alpha val="96000"/>
                </a:schemeClr>
              </a:solidFill>
            </a:ln>
            <a:effectLst/>
          </c:spPr>
          <c:invertIfNegative val="0"/>
          <c:cat>
            <c:numRef>
              <c:f>'exercice 1-corrigé'!$AF$3:$AH$3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'exercice 1-corrigé'!$AF$4:$AH$4</c:f>
              <c:numCache>
                <c:formatCode>#,##0</c:formatCode>
                <c:ptCount val="3"/>
                <c:pt idx="0">
                  <c:v>2618</c:v>
                </c:pt>
                <c:pt idx="1">
                  <c:v>2898</c:v>
                </c:pt>
                <c:pt idx="2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C-4AF8-A687-F015C734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overlap val="-27"/>
        <c:axId val="438651208"/>
        <c:axId val="438653176"/>
      </c:barChart>
      <c:catAx>
        <c:axId val="43865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8653176"/>
        <c:crosses val="autoZero"/>
        <c:auto val="1"/>
        <c:lblAlgn val="ctr"/>
        <c:lblOffset val="100"/>
        <c:noMultiLvlLbl val="0"/>
      </c:catAx>
      <c:valAx>
        <c:axId val="43865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8651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Références "jouets"</a:t>
            </a:r>
            <a:r>
              <a:rPr lang="fr-FR" baseline="0"/>
              <a:t> par rapport au total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'exercice 1-corrigé'!$AK$9:$AM$9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'exercice 1-corrigé'!$AK$10:$AM$10</c:f>
              <c:numCache>
                <c:formatCode>0.00%</c:formatCode>
                <c:ptCount val="3"/>
                <c:pt idx="0">
                  <c:v>3.624231685032394E-2</c:v>
                </c:pt>
                <c:pt idx="1">
                  <c:v>3.8462559392668488E-2</c:v>
                </c:pt>
                <c:pt idx="2">
                  <c:v>3.864171583398749E-2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9-49EA-9DEF-4EFB2CF9F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678024"/>
        <c:axId val="530676712"/>
      </c:barChart>
      <c:catAx>
        <c:axId val="53067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676712"/>
        <c:crosses val="autoZero"/>
        <c:auto val="1"/>
        <c:lblAlgn val="ctr"/>
        <c:lblOffset val="100"/>
        <c:noMultiLvlLbl val="0"/>
      </c:catAx>
      <c:valAx>
        <c:axId val="53067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67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Part des références "jouets" dans le total en 2019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47-47D1-9CF2-8D80850DDE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47-47D1-9CF2-8D80850DD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1-corrigé'!$AQ$3:$AQ$4</c:f>
              <c:strCache>
                <c:ptCount val="2"/>
                <c:pt idx="1">
                  <c:v>Total</c:v>
                </c:pt>
              </c:strCache>
            </c:strRef>
          </c:cat>
          <c:val>
            <c:numRef>
              <c:f>'exercice 1-corrigé'!$AR$3:$AR$4</c:f>
              <c:numCache>
                <c:formatCode>#,##0</c:formatCode>
                <c:ptCount val="2"/>
                <c:pt idx="0">
                  <c:v>3052</c:v>
                </c:pt>
                <c:pt idx="1">
                  <c:v>78982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7-47D1-9CF2-8D80850DD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5</xdr:row>
      <xdr:rowOff>14287</xdr:rowOff>
    </xdr:from>
    <xdr:to>
      <xdr:col>13</xdr:col>
      <xdr:colOff>114300</xdr:colOff>
      <xdr:row>19</xdr:row>
      <xdr:rowOff>90487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E75216F-C935-45AB-9F26-BA540C5DA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119062</xdr:colOff>
      <xdr:row>5</xdr:row>
      <xdr:rowOff>147637</xdr:rowOff>
    </xdr:from>
    <xdr:to>
      <xdr:col>28</xdr:col>
      <xdr:colOff>71437</xdr:colOff>
      <xdr:row>20</xdr:row>
      <xdr:rowOff>33337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F590AC5-CF26-469B-A459-4D223775D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23812</xdr:colOff>
      <xdr:row>5</xdr:row>
      <xdr:rowOff>138112</xdr:rowOff>
    </xdr:from>
    <xdr:to>
      <xdr:col>35</xdr:col>
      <xdr:colOff>23812</xdr:colOff>
      <xdr:row>20</xdr:row>
      <xdr:rowOff>23812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263D68F-7088-41DA-A3F2-71AAB5AE5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366712</xdr:colOff>
      <xdr:row>10</xdr:row>
      <xdr:rowOff>147637</xdr:rowOff>
    </xdr:from>
    <xdr:to>
      <xdr:col>41</xdr:col>
      <xdr:colOff>366712</xdr:colOff>
      <xdr:row>25</xdr:row>
      <xdr:rowOff>33337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B5BA31E-2F07-4A84-BD20-4BB0E28B8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238125</xdr:colOff>
      <xdr:row>8</xdr:row>
      <xdr:rowOff>157162</xdr:rowOff>
    </xdr:from>
    <xdr:to>
      <xdr:col>48</xdr:col>
      <xdr:colOff>238125</xdr:colOff>
      <xdr:row>23</xdr:row>
      <xdr:rowOff>42862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28C74E2-DCA2-472D-A364-4797B47B6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CF5B-663D-45E9-B0B0-1C77327BB43A}">
  <dimension ref="A2:AR10"/>
  <sheetViews>
    <sheetView tabSelected="1" topLeftCell="A7" workbookViewId="0">
      <selection activeCell="AQ3" sqref="AQ3:AR4"/>
    </sheetView>
  </sheetViews>
  <sheetFormatPr baseColWidth="10" defaultRowHeight="15" x14ac:dyDescent="0.25"/>
  <cols>
    <col min="1" max="21" width="5.28515625" customWidth="1"/>
    <col min="24" max="24" width="12.140625" customWidth="1"/>
    <col min="29" max="29" width="12.42578125" customWidth="1"/>
  </cols>
  <sheetData>
    <row r="2" spans="1:44" x14ac:dyDescent="0.25">
      <c r="A2" t="s">
        <v>0</v>
      </c>
      <c r="W2" t="s">
        <v>1</v>
      </c>
      <c r="AF2" t="s">
        <v>10</v>
      </c>
      <c r="AK2" t="s">
        <v>11</v>
      </c>
    </row>
    <row r="3" spans="1:44" x14ac:dyDescent="0.25">
      <c r="A3" s="3">
        <v>1999</v>
      </c>
      <c r="B3" s="3">
        <v>2000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">
        <v>2014</v>
      </c>
      <c r="Q3" s="3">
        <v>2015</v>
      </c>
      <c r="R3" s="3">
        <v>2016</v>
      </c>
      <c r="S3" s="3">
        <v>2017</v>
      </c>
      <c r="T3" s="3">
        <v>2018</v>
      </c>
      <c r="U3" s="3">
        <v>2019</v>
      </c>
      <c r="W3" s="5" t="s">
        <v>2</v>
      </c>
      <c r="X3" s="5" t="s">
        <v>4</v>
      </c>
      <c r="Y3" s="5" t="s">
        <v>3</v>
      </c>
      <c r="Z3" s="5" t="s">
        <v>5</v>
      </c>
      <c r="AA3" s="5" t="s">
        <v>6</v>
      </c>
      <c r="AB3" s="5" t="s">
        <v>7</v>
      </c>
      <c r="AC3" s="5" t="s">
        <v>8</v>
      </c>
      <c r="AD3" s="5" t="s">
        <v>9</v>
      </c>
      <c r="AF3" s="8">
        <v>2000</v>
      </c>
      <c r="AG3" s="8">
        <v>2010</v>
      </c>
      <c r="AH3" s="8">
        <v>2019</v>
      </c>
      <c r="AK3" s="8">
        <v>2000</v>
      </c>
      <c r="AL3" s="8">
        <v>2010</v>
      </c>
      <c r="AM3" s="8">
        <v>2019</v>
      </c>
      <c r="AQ3" s="10"/>
      <c r="AR3" s="7">
        <v>3052</v>
      </c>
    </row>
    <row r="4" spans="1:44" x14ac:dyDescent="0.25">
      <c r="A4" s="2">
        <v>123</v>
      </c>
      <c r="B4" s="2">
        <v>125</v>
      </c>
      <c r="C4" s="2">
        <v>154</v>
      </c>
      <c r="D4" s="2">
        <v>156</v>
      </c>
      <c r="E4" s="2">
        <v>165</v>
      </c>
      <c r="F4" s="2">
        <v>167</v>
      </c>
      <c r="G4" s="2">
        <v>187</v>
      </c>
      <c r="H4" s="2">
        <v>188</v>
      </c>
      <c r="I4" s="2">
        <v>190</v>
      </c>
      <c r="J4" s="2">
        <v>200</v>
      </c>
      <c r="K4" s="2">
        <v>202</v>
      </c>
      <c r="L4" s="2">
        <v>201</v>
      </c>
      <c r="M4" s="2">
        <v>210</v>
      </c>
      <c r="N4" s="2">
        <v>210</v>
      </c>
      <c r="O4" s="2">
        <v>176</v>
      </c>
      <c r="P4" s="2">
        <v>200</v>
      </c>
      <c r="Q4" s="2">
        <v>202</v>
      </c>
      <c r="R4" s="2">
        <v>197</v>
      </c>
      <c r="S4" s="2">
        <v>178</v>
      </c>
      <c r="T4" s="2">
        <v>180</v>
      </c>
      <c r="U4" s="2">
        <v>180</v>
      </c>
      <c r="W4" s="4">
        <v>69.5</v>
      </c>
      <c r="X4" s="1">
        <v>9.8000000000000007</v>
      </c>
      <c r="Y4" s="1">
        <v>6.2</v>
      </c>
      <c r="Z4" s="1">
        <v>3.2</v>
      </c>
      <c r="AA4" s="1">
        <v>2.9</v>
      </c>
      <c r="AB4" s="1">
        <v>2.5</v>
      </c>
      <c r="AC4" s="1">
        <v>1.8</v>
      </c>
      <c r="AD4" s="1">
        <f>100-SUM(W4,X4,Y4,Z4,AA4,AB4,AC4)</f>
        <v>4.0999999999999943</v>
      </c>
      <c r="AF4" s="7">
        <v>2618</v>
      </c>
      <c r="AG4" s="7">
        <v>2898</v>
      </c>
      <c r="AH4" s="7">
        <v>3052</v>
      </c>
      <c r="AK4" s="6">
        <v>72236</v>
      </c>
      <c r="AL4" s="6">
        <v>75346</v>
      </c>
      <c r="AM4" s="6">
        <v>78982</v>
      </c>
      <c r="AQ4" s="11" t="s">
        <v>13</v>
      </c>
      <c r="AR4" s="6">
        <v>78982</v>
      </c>
    </row>
    <row r="7" spans="1:44" x14ac:dyDescent="0.25">
      <c r="AK7" t="s">
        <v>12</v>
      </c>
    </row>
    <row r="9" spans="1:44" x14ac:dyDescent="0.25">
      <c r="AK9" s="8">
        <v>2000</v>
      </c>
      <c r="AL9" s="8">
        <v>2010</v>
      </c>
      <c r="AM9" s="8">
        <v>2019</v>
      </c>
    </row>
    <row r="10" spans="1:44" x14ac:dyDescent="0.25">
      <c r="AK10" s="9">
        <f>AF4/AK4</f>
        <v>3.624231685032394E-2</v>
      </c>
      <c r="AL10" s="9">
        <f t="shared" ref="AL10:AM10" si="0">AG4/AL4</f>
        <v>3.8462559392668488E-2</v>
      </c>
      <c r="AM10" s="9">
        <f t="shared" si="0"/>
        <v>3.864171583398749E-2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0CB59B-D140-4537-9699-FDDA54FF8E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E589B7-9EC0-4250-B13A-FA3F845EF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27466-79AD-4529-A13B-EEB48841F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1-corrigé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BATALLAN CHLOE</cp:lastModifiedBy>
  <dcterms:created xsi:type="dcterms:W3CDTF">2018-10-04T13:55:12Z</dcterms:created>
  <dcterms:modified xsi:type="dcterms:W3CDTF">2022-04-25T10:02:51Z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