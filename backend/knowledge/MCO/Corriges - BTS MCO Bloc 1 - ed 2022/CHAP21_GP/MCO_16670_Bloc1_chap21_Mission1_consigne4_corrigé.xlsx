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uval\Documents\FOUCHER\BTS MCO\PRODUCTIONS\2021\Chapitre 30 modifié et fusionné\"/>
    </mc:Choice>
  </mc:AlternateContent>
  <bookViews>
    <workbookView xWindow="0" yWindow="0" windowWidth="15345" windowHeight="441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F5" i="1"/>
  <c r="E16" i="1"/>
  <c r="E8" i="1" s="1"/>
  <c r="F8" i="1" s="1"/>
  <c r="E15" i="1"/>
  <c r="E14" i="1"/>
  <c r="F6" i="1" l="1"/>
  <c r="F10" i="1" s="1"/>
</calcChain>
</file>

<file path=xl/sharedStrings.xml><?xml version="1.0" encoding="utf-8"?>
<sst xmlns="http://schemas.openxmlformats.org/spreadsheetml/2006/main" count="16" uniqueCount="16">
  <si>
    <t>Coût</t>
  </si>
  <si>
    <t>Parrainage</t>
  </si>
  <si>
    <t>Quantité</t>
  </si>
  <si>
    <t>Total</t>
  </si>
  <si>
    <t>Total HT</t>
  </si>
  <si>
    <t>Calculs hors taxes</t>
  </si>
  <si>
    <t>Montant TTC</t>
  </si>
  <si>
    <t>TVA</t>
  </si>
  <si>
    <t>Montant HT</t>
  </si>
  <si>
    <t>Publipostage</t>
  </si>
  <si>
    <t>Montant</t>
  </si>
  <si>
    <t>Panier moyen</t>
  </si>
  <si>
    <t>Coûts de l'opération</t>
  </si>
  <si>
    <t>Revenus de l'opération</t>
  </si>
  <si>
    <t>Résultat</t>
  </si>
  <si>
    <t>Valeur d'acquisition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</si>
</sst>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6"/>
  <sheetViews>
    <sheetView tabSelected="1" workbookViewId="0">
      <selection activeCell="G10" sqref="G10"/>
    </sheetView>
  </sheetViews>
  <sheetFormatPr baseColWidth="10" defaultRowHeight="15" x14ac:dyDescent="0.25"/>
  <cols>
    <col min="3" max="3" width="15.140625" customWidth="1"/>
    <col min="10" max="10" width="14.5703125" customWidth="1"/>
    <col min="12" max="12" width="11.42578125" style="1"/>
  </cols>
  <sheetData>
    <row r="2" spans="3:6" x14ac:dyDescent="0.25">
      <c r="C2" s="6" t="s">
        <v>15</v>
      </c>
      <c r="D2" s="7"/>
      <c r="E2" s="7"/>
      <c r="F2" s="8"/>
    </row>
    <row r="3" spans="3:6" x14ac:dyDescent="0.25">
      <c r="C3" s="2" t="s">
        <v>0</v>
      </c>
      <c r="D3" s="2" t="s">
        <v>2</v>
      </c>
      <c r="E3" s="2" t="s">
        <v>10</v>
      </c>
      <c r="F3" s="2" t="s">
        <v>4</v>
      </c>
    </row>
    <row r="4" spans="3:6" x14ac:dyDescent="0.25">
      <c r="C4" s="5" t="s">
        <v>12</v>
      </c>
      <c r="D4" s="5"/>
      <c r="E4" s="5"/>
      <c r="F4" s="5"/>
    </row>
    <row r="5" spans="3:6" x14ac:dyDescent="0.25">
      <c r="C5" s="2" t="s">
        <v>9</v>
      </c>
      <c r="D5" s="2">
        <v>7500</v>
      </c>
      <c r="E5" s="2">
        <v>0.93</v>
      </c>
      <c r="F5" s="2">
        <f>D5*E5</f>
        <v>6975</v>
      </c>
    </row>
    <row r="6" spans="3:6" x14ac:dyDescent="0.25">
      <c r="C6" s="2" t="s">
        <v>1</v>
      </c>
      <c r="D6" s="2">
        <v>200</v>
      </c>
      <c r="E6" s="3">
        <f>E14+E15</f>
        <v>24.833333333333332</v>
      </c>
      <c r="F6" s="3">
        <f>D6*E6</f>
        <v>4966.6666666666661</v>
      </c>
    </row>
    <row r="7" spans="3:6" x14ac:dyDescent="0.25">
      <c r="C7" s="5" t="s">
        <v>13</v>
      </c>
      <c r="D7" s="5"/>
      <c r="E7" s="5"/>
      <c r="F7" s="5"/>
    </row>
    <row r="8" spans="3:6" x14ac:dyDescent="0.25">
      <c r="C8" s="2" t="s">
        <v>11</v>
      </c>
      <c r="D8" s="2">
        <v>200</v>
      </c>
      <c r="E8" s="3">
        <f>E16</f>
        <v>21.583333333333332</v>
      </c>
      <c r="F8" s="3">
        <f>D8*E8</f>
        <v>4316.6666666666661</v>
      </c>
    </row>
    <row r="9" spans="3:6" x14ac:dyDescent="0.25">
      <c r="C9" s="5" t="s">
        <v>3</v>
      </c>
      <c r="D9" s="5"/>
      <c r="E9" s="5"/>
      <c r="F9" s="5"/>
    </row>
    <row r="10" spans="3:6" x14ac:dyDescent="0.25">
      <c r="C10" s="2" t="s">
        <v>14</v>
      </c>
      <c r="D10" s="4"/>
      <c r="E10" s="4"/>
      <c r="F10" s="3">
        <f>F8-(SUM(F5:F6))</f>
        <v>-7625</v>
      </c>
    </row>
    <row r="12" spans="3:6" x14ac:dyDescent="0.25">
      <c r="C12" s="5" t="s">
        <v>5</v>
      </c>
      <c r="D12" s="5"/>
      <c r="E12" s="5"/>
    </row>
    <row r="13" spans="3:6" x14ac:dyDescent="0.25">
      <c r="C13" s="2" t="s">
        <v>6</v>
      </c>
      <c r="D13" s="2" t="s">
        <v>7</v>
      </c>
      <c r="E13" s="3" t="s">
        <v>8</v>
      </c>
    </row>
    <row r="14" spans="3:6" x14ac:dyDescent="0.25">
      <c r="C14" s="2">
        <v>9.9</v>
      </c>
      <c r="D14" s="2">
        <v>0.2</v>
      </c>
      <c r="E14" s="3">
        <f>C14/(1+D14)</f>
        <v>8.25</v>
      </c>
    </row>
    <row r="15" spans="3:6" x14ac:dyDescent="0.25">
      <c r="C15" s="2">
        <v>19.899999999999999</v>
      </c>
      <c r="D15" s="2">
        <v>0.2</v>
      </c>
      <c r="E15" s="3">
        <f>C15/(1+D15)</f>
        <v>16.583333333333332</v>
      </c>
    </row>
    <row r="16" spans="3:6" x14ac:dyDescent="0.25">
      <c r="C16" s="2">
        <v>25.9</v>
      </c>
      <c r="D16" s="2">
        <v>0.2</v>
      </c>
      <c r="E16" s="3">
        <f>C16/(1+D16)</f>
        <v>21.583333333333332</v>
      </c>
    </row>
  </sheetData>
  <mergeCells count="5">
    <mergeCell ref="C4:F4"/>
    <mergeCell ref="C7:F7"/>
    <mergeCell ref="C9:F9"/>
    <mergeCell ref="C12:E12"/>
    <mergeCell ref="C2:F2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08DC5-7903-4AAD-9B49-F2CD6D011695}"/>
</file>

<file path=customXml/itemProps2.xml><?xml version="1.0" encoding="utf-8"?>
<ds:datastoreItem xmlns:ds="http://schemas.openxmlformats.org/officeDocument/2006/customXml" ds:itemID="{29F3BFDF-21D1-4434-8C43-3F9FC95DAE1A}"/>
</file>

<file path=customXml/itemProps3.xml><?xml version="1.0" encoding="utf-8"?>
<ds:datastoreItem xmlns:ds="http://schemas.openxmlformats.org/officeDocument/2006/customXml" ds:itemID="{89A419D2-0FAB-4142-8F4C-25A2CACAF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M.D-K</dc:creator>
  <cp:lastModifiedBy>md</cp:lastModifiedBy>
  <dcterms:created xsi:type="dcterms:W3CDTF">2019-01-07T10:22:45Z</dcterms:created>
  <dcterms:modified xsi:type="dcterms:W3CDTF">2021-05-11T15:15:04Z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