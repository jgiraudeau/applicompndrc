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 activeTab="1"/>
  </bookViews>
  <sheets>
    <sheet name="Q3 - cas CH4" sheetId="6" r:id="rId1"/>
    <sheet name="Q7 - cas CH4" sheetId="5" r:id="rId2"/>
  </sheets>
  <calcPr calcId="162913"/>
</workbook>
</file>

<file path=xl/calcChain.xml><?xml version="1.0" encoding="utf-8"?>
<calcChain xmlns="http://schemas.openxmlformats.org/spreadsheetml/2006/main">
  <c r="I21" i="5" l="1"/>
  <c r="I22" i="5"/>
  <c r="I23" i="5"/>
  <c r="I20" i="5"/>
  <c r="H21" i="5"/>
  <c r="H22" i="5"/>
  <c r="H23" i="5"/>
  <c r="H20" i="5"/>
  <c r="G21" i="5"/>
  <c r="G22" i="5"/>
  <c r="G23" i="5"/>
  <c r="G20" i="5"/>
  <c r="F21" i="5"/>
  <c r="F22" i="5"/>
  <c r="F23" i="5"/>
  <c r="F20" i="5"/>
  <c r="E21" i="5"/>
  <c r="E22" i="5"/>
  <c r="E23" i="5"/>
  <c r="E20" i="5"/>
  <c r="D21" i="5"/>
  <c r="D22" i="5"/>
  <c r="D23" i="5"/>
  <c r="D20" i="5"/>
  <c r="C21" i="5"/>
  <c r="C22" i="5"/>
  <c r="C23" i="5"/>
  <c r="C20" i="5"/>
  <c r="B21" i="5"/>
  <c r="B22" i="5"/>
  <c r="B23" i="5"/>
  <c r="B20" i="5"/>
  <c r="I25" i="6"/>
  <c r="I26" i="6" s="1"/>
  <c r="I27" i="6" s="1"/>
  <c r="I28" i="6" s="1"/>
  <c r="I29" i="6" s="1"/>
  <c r="I30" i="6" s="1"/>
  <c r="I31" i="6" s="1"/>
  <c r="I32" i="6" s="1"/>
  <c r="I24" i="6"/>
  <c r="I23" i="6"/>
  <c r="H24" i="6"/>
  <c r="H25" i="6"/>
  <c r="H26" i="6"/>
  <c r="H27" i="6"/>
  <c r="H28" i="6"/>
  <c r="H29" i="6"/>
  <c r="H30" i="6"/>
  <c r="H31" i="6"/>
  <c r="H32" i="6"/>
  <c r="H33" i="6"/>
  <c r="H23" i="6"/>
  <c r="G25" i="6"/>
  <c r="G26" i="6"/>
  <c r="G27" i="6"/>
  <c r="G28" i="6"/>
  <c r="G29" i="6" s="1"/>
  <c r="G30" i="6" s="1"/>
  <c r="G31" i="6" s="1"/>
  <c r="G32" i="6" s="1"/>
  <c r="G24" i="6"/>
  <c r="G23" i="6"/>
  <c r="F33" i="6"/>
  <c r="F24" i="6"/>
  <c r="F25" i="6"/>
  <c r="F26" i="6"/>
  <c r="F27" i="6"/>
  <c r="F28" i="6"/>
  <c r="F29" i="6"/>
  <c r="F30" i="6"/>
  <c r="F31" i="6"/>
  <c r="F32" i="6"/>
  <c r="F23" i="6"/>
</calcChain>
</file>

<file path=xl/comments1.xml><?xml version="1.0" encoding="utf-8"?>
<comments xmlns="http://schemas.openxmlformats.org/spreadsheetml/2006/main">
  <authors>
    <author>Bernard COÏC</author>
  </authors>
  <commentList>
    <comment ref="G26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Le % cumulé du coût d'achat des quatre références R9, R3, R10 et R7 = 79,89 % soit environ 80 % du coût d'achat</t>
        </r>
      </text>
    </comment>
    <comment ref="I26" authorId="0" shapeId="0">
      <text>
        <r>
          <rPr>
            <b/>
            <sz val="9"/>
            <color indexed="81"/>
            <rFont val="Tahoma"/>
            <family val="2"/>
          </rPr>
          <t xml:space="preserve">Bernard COÏC:
</t>
        </r>
        <r>
          <rPr>
            <sz val="9"/>
            <color indexed="81"/>
            <rFont val="Tahoma"/>
            <family val="2"/>
          </rPr>
          <t>Le % cumulé des quantités achetées des quatre références R9, R3, R10, R7 = 20,10 %</t>
        </r>
        <r>
          <rPr>
            <b/>
            <sz val="9"/>
            <color indexed="81"/>
            <rFont val="Tahoma"/>
            <family val="2"/>
          </rPr>
          <t xml:space="preserve">
Les quatre références R9 + R3 + R10 + R7 représentent environ 80 % du coût d'achat et 20 % des quantités achetées: la loi des 20/80 s’applique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Bernard COÏC</author>
  </authors>
  <commentList>
    <comment ref="I22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On constate que le coût de stockage le plus bas est obtenu pour 12 commandes dans l’année.</t>
        </r>
      </text>
    </comment>
  </commentList>
</comments>
</file>

<file path=xl/sharedStrings.xml><?xml version="1.0" encoding="utf-8"?>
<sst xmlns="http://schemas.openxmlformats.org/spreadsheetml/2006/main" count="67" uniqueCount="53">
  <si>
    <t>Stock final</t>
  </si>
  <si>
    <t>Chapitre 4 Assurer la gestion économique des stocks</t>
  </si>
  <si>
    <t>Mission 2 Suivre les stocks de façon sélective</t>
  </si>
  <si>
    <t>3. Présentez le tableau de calculs vous permettant de déterminer les références des plafonniers et des spots qui doivent être suivies prioritairement.</t>
  </si>
  <si>
    <t>Références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</si>
  <si>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</si>
  <si>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</si>
  <si>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</si>
  <si>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</si>
  <si>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</si>
  <si>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</si>
  <si>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</si>
  <si>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</si>
  <si>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</si>
  <si>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</si>
  <si>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Totaux</t>
  </si>
  <si>
    <t>Quantités achetées</t>
  </si>
  <si>
    <t>Coût d'achat unitaire</t>
  </si>
  <si>
    <t>Coût d'achat total</t>
  </si>
  <si>
    <t>2 850</t>
  </si>
  <si>
    <t>2 250</t>
  </si>
  <si>
    <t>3 150</t>
  </si>
  <si>
    <t>2 640</t>
  </si>
  <si>
    <t>Classement</t>
  </si>
  <si>
    <t>Référence</t>
  </si>
  <si>
    <t>Quantité achetée</t>
  </si>
  <si>
    <t>% du coût d'achat total</t>
  </si>
  <si>
    <t>% cumulé du coût d'achat</t>
  </si>
  <si>
    <t>% du nombre de références</t>
  </si>
  <si>
    <t>% cumulé du nombre de références</t>
  </si>
  <si>
    <t>Tableau de calculs méthode des 20 x 80.</t>
  </si>
  <si>
    <t>Mission 3 Évaluer les coûts de stockage</t>
  </si>
  <si>
    <t>Nombre de commandes</t>
  </si>
  <si>
    <t>Quantité à commander (et à livrer)</t>
  </si>
  <si>
    <t>Stock Initial après livraison</t>
  </si>
  <si>
    <t>stock moyen en valeur</t>
  </si>
  <si>
    <t>Coût de passation</t>
  </si>
  <si>
    <t>coût de possession</t>
  </si>
  <si>
    <t>Coût total de stockage</t>
  </si>
  <si>
    <t>Simulation des coûts de stockage</t>
  </si>
  <si>
    <t xml:space="preserve">Réf. Lexdux lot de 3 ampoules LED standard E27 7,5 W </t>
  </si>
  <si>
    <t xml:space="preserve">Ventes annuelles en quantité N-1 : </t>
  </si>
  <si>
    <t xml:space="preserve">Coût d'achat du produit auprès du fournisseur  : </t>
  </si>
  <si>
    <t xml:space="preserve">Coût de passation estimé d’une commande :   </t>
  </si>
  <si>
    <t>Quantités fixes par commande :</t>
  </si>
  <si>
    <t>Stock de sécurité en nombre de produits (quantité en stock déclenchant la livraison):</t>
  </si>
  <si>
    <t xml:space="preserve">Taux de possession du stock :  </t>
  </si>
  <si>
    <t xml:space="preserve">Nombre de commandes maxpar an : </t>
  </si>
  <si>
    <t>Stock moyen en quantité</t>
  </si>
  <si>
    <t xml:space="preserve">7. Effectuez une simulation en calculant le coût de passation des commandes, le coût de possession des stocks et le coût total pour 4, 6, 12 puis 24 commandes par an. </t>
  </si>
  <si>
    <t>Déterminez le nombre de commandes optimal.</t>
  </si>
  <si>
    <t>Ressource 3: Achats de plafonniers de l’année passée en quantité et en valeur sur N+1</t>
  </si>
  <si>
    <t>Ressource 7: Note manuscrite du contrôleur de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</si>
</sst>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1" fillId="4" borderId="0" xfId="0" applyFont="1" applyFill="1"/>
    <xf numFmtId="0" fontId="4" fillId="6" borderId="0" xfId="0" applyFont="1" applyFill="1" applyAlignment="1">
      <alignment horizontal="left" vertical="center"/>
    </xf>
    <xf numFmtId="0" fontId="2" fillId="4" borderId="0" xfId="0" applyFont="1" applyFill="1"/>
    <xf numFmtId="0" fontId="5" fillId="4" borderId="0" xfId="0" applyFont="1" applyFill="1"/>
    <xf numFmtId="0" fontId="2" fillId="0" borderId="0" xfId="0" applyFont="1" applyBorder="1" applyAlignment="1">
      <alignment vertical="center"/>
    </xf>
    <xf numFmtId="9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6" borderId="0" xfId="0" applyFont="1" applyFill="1"/>
    <xf numFmtId="0" fontId="2" fillId="3" borderId="0" xfId="0" applyFont="1" applyFill="1"/>
    <xf numFmtId="0" fontId="4" fillId="5" borderId="0" xfId="0" applyFont="1" applyFill="1"/>
    <xf numFmtId="0" fontId="4" fillId="0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4" fillId="0" borderId="0" xfId="0" applyFont="1" applyFill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7" borderId="0" xfId="0" applyFont="1" applyFill="1"/>
    <xf numFmtId="0" fontId="3" fillId="0" borderId="0" xfId="0" applyFont="1"/>
    <xf numFmtId="0" fontId="4" fillId="8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5" fillId="5" borderId="0" xfId="0" applyFont="1" applyFill="1"/>
    <xf numFmtId="0" fontId="3" fillId="5" borderId="0" xfId="0" applyFont="1" applyFill="1"/>
    <xf numFmtId="0" fontId="4" fillId="9" borderId="0" xfId="0" applyFont="1" applyFill="1" applyAlignment="1">
      <alignment horizontal="left" vertical="center"/>
    </xf>
    <xf numFmtId="0" fontId="3" fillId="0" borderId="0" xfId="0" applyFont="1" applyFill="1"/>
    <xf numFmtId="44" fontId="2" fillId="0" borderId="1" xfId="1" applyFont="1" applyBorder="1" applyAlignment="1">
      <alignment horizontal="right"/>
    </xf>
    <xf numFmtId="9" fontId="2" fillId="0" borderId="1" xfId="2" applyFont="1" applyFill="1" applyBorder="1" applyAlignment="1">
      <alignment horizontal="right"/>
    </xf>
    <xf numFmtId="0" fontId="3" fillId="0" borderId="1" xfId="0" applyFont="1" applyFill="1" applyBorder="1" applyAlignment="1">
      <alignment horizontal="right" vertical="center"/>
    </xf>
    <xf numFmtId="164" fontId="3" fillId="0" borderId="1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/>
    </xf>
    <xf numFmtId="9" fontId="2" fillId="0" borderId="0" xfId="2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10" fontId="9" fillId="0" borderId="1" xfId="2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horizontal="center" vertical="center" wrapText="1"/>
    </xf>
    <xf numFmtId="0" fontId="4" fillId="3" borderId="0" xfId="0" applyFont="1" applyFill="1"/>
    <xf numFmtId="4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CCFF"/>
      <color rgb="FF00FF00"/>
      <color rgb="FF00FFFF"/>
      <color rgb="FF66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fr-FR" sz="1200">
                <a:latin typeface="+mn-lt"/>
                <a:cs typeface="Times New Roman" panose="02020603050405020304" pitchFamily="18" charset="0"/>
              </a:rPr>
              <a:t>Evolution des coûts de stockage en fonction du nombre de commandes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727630452684944"/>
          <c:y val="0.11516777970573203"/>
          <c:w val="0.55296401526249783"/>
          <c:h val="0.72815571116495825"/>
        </c:manualLayout>
      </c:layout>
      <c:lineChart>
        <c:grouping val="standard"/>
        <c:varyColors val="0"/>
        <c:ser>
          <c:idx val="0"/>
          <c:order val="0"/>
          <c:tx>
            <c:strRef>
              <c:f>'Q7 - cas CH4'!$G$19</c:f>
              <c:strCache>
                <c:ptCount val="1"/>
                <c:pt idx="0">
                  <c:v>Coût de passation</c:v>
                </c:pt>
              </c:strCache>
            </c:strRef>
          </c:tx>
          <c:cat>
            <c:numRef>
              <c:f>'Q7 - cas CH4'!$A$20:$A$23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</c:numCache>
            </c:numRef>
          </c:cat>
          <c:val>
            <c:numRef>
              <c:f>'Q7 - cas CH4'!$G$20:$G$23</c:f>
              <c:numCache>
                <c:formatCode>_("€"* #,##0.00_);_("€"* \(#,##0.00\);_("€"* "-"??_);_(@_)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36</c:v>
                </c:pt>
                <c:pt idx="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0-4671-99ED-8E8547E3592C}"/>
            </c:ext>
          </c:extLst>
        </c:ser>
        <c:ser>
          <c:idx val="1"/>
          <c:order val="1"/>
          <c:tx>
            <c:strRef>
              <c:f>'Q7 - cas CH4'!$H$19</c:f>
              <c:strCache>
                <c:ptCount val="1"/>
                <c:pt idx="0">
                  <c:v>coût de possession</c:v>
                </c:pt>
              </c:strCache>
            </c:strRef>
          </c:tx>
          <c:cat>
            <c:numRef>
              <c:f>'Q7 - cas CH4'!$A$20:$A$23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</c:numCache>
            </c:numRef>
          </c:cat>
          <c:val>
            <c:numRef>
              <c:f>'Q7 - cas CH4'!$H$20:$H$23</c:f>
              <c:numCache>
                <c:formatCode>_-* #\ ##0.00\ [$€-40C]_-;\-* #\ ##0.00\ [$€-40C]_-;_-* "-"??\ [$€-40C]_-;_-@_-</c:formatCode>
                <c:ptCount val="4"/>
                <c:pt idx="0">
                  <c:v>78</c:v>
                </c:pt>
                <c:pt idx="1">
                  <c:v>54</c:v>
                </c:pt>
                <c:pt idx="2">
                  <c:v>30</c:v>
                </c:pt>
                <c:pt idx="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0-4671-99ED-8E8547E3592C}"/>
            </c:ext>
          </c:extLst>
        </c:ser>
        <c:ser>
          <c:idx val="2"/>
          <c:order val="2"/>
          <c:tx>
            <c:strRef>
              <c:f>'Q7 - cas CH4'!$I$19</c:f>
              <c:strCache>
                <c:ptCount val="1"/>
                <c:pt idx="0">
                  <c:v>Coût total de stockage</c:v>
                </c:pt>
              </c:strCache>
            </c:strRef>
          </c:tx>
          <c:val>
            <c:numRef>
              <c:f>'Q7 - cas CH4'!$I$20:$I$23</c:f>
              <c:numCache>
                <c:formatCode>_("€"* #,##0.00_);_("€"* \(#,##0.00\);_("€"* "-"??_);_(@_)</c:formatCode>
                <c:ptCount val="4"/>
                <c:pt idx="0">
                  <c:v>90</c:v>
                </c:pt>
                <c:pt idx="1">
                  <c:v>72</c:v>
                </c:pt>
                <c:pt idx="2">
                  <c:v>66</c:v>
                </c:pt>
                <c:pt idx="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40-4671-99ED-8E8547E35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48544"/>
        <c:axId val="121440512"/>
      </c:lineChart>
      <c:catAx>
        <c:axId val="121148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>
                    <a:latin typeface="+mn-lt"/>
                    <a:cs typeface="Times New Roman" panose="02020603050405020304" pitchFamily="18" charset="0"/>
                  </a:defRPr>
                </a:pPr>
                <a:r>
                  <a:rPr lang="fr-FR" sz="1050">
                    <a:latin typeface="+mn-lt"/>
                    <a:cs typeface="Times New Roman" panose="02020603050405020304" pitchFamily="18" charset="0"/>
                  </a:rPr>
                  <a:t>Nombre de commandes par an </a:t>
                </a:r>
              </a:p>
            </c:rich>
          </c:tx>
          <c:layout>
            <c:manualLayout>
              <c:xMode val="edge"/>
              <c:yMode val="edge"/>
              <c:x val="0.30347190016089581"/>
              <c:y val="0.9179037620297463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1440512"/>
        <c:crosses val="autoZero"/>
        <c:auto val="1"/>
        <c:lblAlgn val="ctr"/>
        <c:lblOffset val="100"/>
        <c:noMultiLvlLbl val="0"/>
      </c:catAx>
      <c:valAx>
        <c:axId val="121440512"/>
        <c:scaling>
          <c:orientation val="minMax"/>
          <c:max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>
                    <a:latin typeface="+mn-lt"/>
                    <a:cs typeface="Times New Roman" panose="02020603050405020304" pitchFamily="18" charset="0"/>
                  </a:defRPr>
                </a:pPr>
                <a:r>
                  <a:rPr lang="fr-FR" sz="1000">
                    <a:latin typeface="+mn-lt"/>
                    <a:cs typeface="Times New Roman" panose="02020603050405020304" pitchFamily="18" charset="0"/>
                  </a:rPr>
                  <a:t>Coûts de stockage</a:t>
                </a:r>
              </a:p>
            </c:rich>
          </c:tx>
          <c:layout/>
          <c:overlay val="0"/>
        </c:title>
        <c:numFmt formatCode="_(&quot;€&quot;* #,##0_);_(&quot;€&quot;* \(#,##0\);_(&quot;€&quot;* &quot;-&quot;_);_(@_)" sourceLinked="0"/>
        <c:majorTickMark val="out"/>
        <c:minorTickMark val="none"/>
        <c:tickLblPos val="nextTo"/>
        <c:crossAx val="121148544"/>
        <c:crosses val="autoZero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76473343546569106"/>
          <c:y val="0.13664341085063991"/>
          <c:w val="0.23526648261036262"/>
          <c:h val="0.17815678212637212"/>
        </c:manualLayout>
      </c:layout>
      <c:overlay val="0"/>
      <c:txPr>
        <a:bodyPr/>
        <a:lstStyle/>
        <a:p>
          <a:pPr>
            <a:defRPr sz="1000" baseline="0">
              <a:latin typeface="+mn-lt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876300</xdr:colOff>
      <xdr:row>24</xdr:row>
      <xdr:rowOff>19050</xdr:rowOff>
    </xdr:from>
    <xdr:to>
      <xdr:col>7</xdr:col>
      <xdr:colOff>114935</xdr:colOff>
      <xdr:row>43</xdr:row>
      <xdr:rowOff>85725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0.77833</cdr:x>
      <cdr:y>0.633</cdr:y>
    </cdr:from>
    <cdr:to>
      <cdr:x>0.98554</cdr:x>
      <cdr:y>0.90334</cdr:y>
    </cdr:to>
    <cdr:sp macro="" textlink="">
      <cdr:nvSpPr>
        <cdr:cNvPr id="3" name="Légende encadrée 1 2"/>
        <cdr:cNvSpPr/>
      </cdr:nvSpPr>
      <cdr:spPr>
        <a:xfrm xmlns:a="http://schemas.openxmlformats.org/drawingml/2006/main">
          <a:off x="4648817" y="2447924"/>
          <a:ext cx="1237633" cy="1045409"/>
        </a:xfrm>
        <a:prstGeom xmlns:a="http://schemas.openxmlformats.org/drawingml/2006/main" prst="borderCallout1">
          <a:avLst>
            <a:gd name="adj1" fmla="val 51008"/>
            <a:gd name="adj2" fmla="val -1139"/>
            <a:gd name="adj3" fmla="val -4251"/>
            <a:gd name="adj4" fmla="val -140441"/>
          </a:avLst>
        </a:prstGeom>
        <a:solidFill xmlns:a="http://schemas.openxmlformats.org/drawingml/2006/main">
          <a:schemeClr val="bg1"/>
        </a:solidFill>
        <a:ln xmlns:a="http://schemas.openxmlformats.org/drawingml/2006/main" w="12700">
          <a:solidFill>
            <a:schemeClr val="tx1"/>
          </a:solidFill>
          <a:tailEnd type="triangle" w="lg" len="med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square" lIns="36000" tIns="36000" rIns="36000" bIns="36000" anchor="ctr" anchorCtr="0">
          <a:noAutofit/>
        </a:bodyPr>
        <a:lstStyle xmlns:a="http://schemas.openxmlformats.org/drawingml/2006/main"/>
        <a:p xmlns:a="http://schemas.openxmlformats.org/drawingml/2006/main">
          <a:r>
            <a:rPr lang="fr-FR" sz="900">
              <a:solidFill>
                <a:sysClr val="windowText" lastClr="000000"/>
              </a:solidFill>
              <a:latin typeface="+mn-lt"/>
              <a:ea typeface="+mn-ea"/>
              <a:cs typeface="Times New Roman" pitchFamily="18" charset="0"/>
            </a:rPr>
            <a:t>On constate que le coût total de stockage le plus bas correspond à 12 commandes par an, soit une commande par mois</a:t>
          </a:r>
          <a:endParaRPr lang="fr-FR" sz="900">
            <a:solidFill>
              <a:sysClr val="windowText" lastClr="000000"/>
            </a:solidFill>
            <a:latin typeface="+mn-lt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3"/>
  <sheetViews>
    <sheetView topLeftCell="A22" workbookViewId="0">
      <selection activeCell="E9" sqref="E9"/>
    </sheetView>
  </sheetViews>
  <sheetFormatPr baseColWidth="10" defaultRowHeight="15.75" x14ac:dyDescent="0.25"/>
  <cols>
    <col min="1" max="4" width="12" style="2" customWidth="1"/>
    <col min="5" max="5" width="14" style="2" customWidth="1"/>
    <col min="6" max="6" width="12.5703125" style="2" bestFit="1" customWidth="1"/>
    <col min="7" max="7" width="12.28515625" style="2" bestFit="1" customWidth="1"/>
    <col min="8" max="8" width="13.28515625" style="2" bestFit="1" customWidth="1"/>
    <col min="9" max="9" width="20.5703125" style="2" customWidth="1"/>
    <col min="10" max="12" width="13.140625" style="2" customWidth="1"/>
    <col min="13" max="16384" width="11.42578125" style="2"/>
  </cols>
  <sheetData>
    <row r="1" spans="1:12" x14ac:dyDescent="0.25">
      <c r="A1" s="5" t="s">
        <v>1</v>
      </c>
      <c r="B1" s="5"/>
      <c r="C1" s="5"/>
      <c r="D1" s="14"/>
      <c r="E1" s="14"/>
    </row>
    <row r="2" spans="1:12" x14ac:dyDescent="0.25">
      <c r="A2" s="4" t="s">
        <v>2</v>
      </c>
      <c r="B2" s="1"/>
      <c r="C2" s="1"/>
      <c r="D2" s="1"/>
    </row>
    <row r="3" spans="1:12" x14ac:dyDescent="0.25">
      <c r="A3" s="10"/>
      <c r="B3" s="11"/>
      <c r="C3" s="11"/>
      <c r="D3" s="11"/>
    </row>
    <row r="4" spans="1:12" x14ac:dyDescent="0.25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5.75" customHeight="1" x14ac:dyDescent="0.25">
      <c r="C5" s="3"/>
    </row>
    <row r="6" spans="1:12" x14ac:dyDescent="0.25">
      <c r="A6" s="7" t="s">
        <v>51</v>
      </c>
      <c r="B6" s="13"/>
      <c r="C6" s="13"/>
      <c r="D6" s="13"/>
      <c r="E6" s="13"/>
      <c r="F6" s="13"/>
      <c r="G6" s="13"/>
    </row>
    <row r="7" spans="1:12" s="3" customFormat="1" x14ac:dyDescent="0.25">
      <c r="A7" s="16"/>
    </row>
    <row r="8" spans="1:12" s="3" customFormat="1" ht="30" x14ac:dyDescent="0.25">
      <c r="A8" s="22" t="s">
        <v>4</v>
      </c>
      <c r="B8" s="20" t="s">
        <v>16</v>
      </c>
      <c r="C8" s="20" t="s">
        <v>17</v>
      </c>
      <c r="D8" s="20" t="s">
        <v>18</v>
      </c>
    </row>
    <row r="9" spans="1:12" s="3" customFormat="1" x14ac:dyDescent="0.25">
      <c r="A9" s="23" t="s">
        <v>5</v>
      </c>
      <c r="B9" s="24">
        <v>69</v>
      </c>
      <c r="C9" s="24">
        <v>5</v>
      </c>
      <c r="D9" s="24">
        <v>345</v>
      </c>
    </row>
    <row r="10" spans="1:12" s="3" customFormat="1" x14ac:dyDescent="0.25">
      <c r="A10" s="23" t="s">
        <v>6</v>
      </c>
      <c r="B10" s="24">
        <v>42</v>
      </c>
      <c r="C10" s="24">
        <v>4.5</v>
      </c>
      <c r="D10" s="24">
        <v>189</v>
      </c>
    </row>
    <row r="11" spans="1:12" s="3" customFormat="1" x14ac:dyDescent="0.25">
      <c r="A11" s="23" t="s">
        <v>7</v>
      </c>
      <c r="B11" s="24">
        <v>19</v>
      </c>
      <c r="C11" s="24">
        <v>150</v>
      </c>
      <c r="D11" s="24" t="s">
        <v>19</v>
      </c>
    </row>
    <row r="12" spans="1:12" s="3" customFormat="1" x14ac:dyDescent="0.25">
      <c r="A12" s="23" t="s">
        <v>8</v>
      </c>
      <c r="B12" s="24">
        <v>48</v>
      </c>
      <c r="C12" s="24">
        <v>13</v>
      </c>
      <c r="D12" s="24">
        <v>624</v>
      </c>
    </row>
    <row r="13" spans="1:12" s="3" customFormat="1" x14ac:dyDescent="0.25">
      <c r="A13" s="23" t="s">
        <v>9</v>
      </c>
      <c r="B13" s="24">
        <v>60</v>
      </c>
      <c r="C13" s="24">
        <v>12</v>
      </c>
      <c r="D13" s="24">
        <v>720</v>
      </c>
    </row>
    <row r="14" spans="1:12" s="3" customFormat="1" x14ac:dyDescent="0.25">
      <c r="A14" s="23" t="s">
        <v>10</v>
      </c>
      <c r="B14" s="24">
        <v>40</v>
      </c>
      <c r="C14" s="24">
        <v>15</v>
      </c>
      <c r="D14" s="24">
        <v>600</v>
      </c>
    </row>
    <row r="15" spans="1:12" s="3" customFormat="1" x14ac:dyDescent="0.25">
      <c r="A15" s="23" t="s">
        <v>11</v>
      </c>
      <c r="B15" s="24">
        <v>18</v>
      </c>
      <c r="C15" s="24">
        <v>125</v>
      </c>
      <c r="D15" s="24" t="s">
        <v>20</v>
      </c>
    </row>
    <row r="16" spans="1:12" s="3" customFormat="1" x14ac:dyDescent="0.25">
      <c r="A16" s="23" t="s">
        <v>12</v>
      </c>
      <c r="B16" s="24">
        <v>55</v>
      </c>
      <c r="C16" s="24">
        <v>4.8</v>
      </c>
      <c r="D16" s="24">
        <v>264</v>
      </c>
    </row>
    <row r="17" spans="1:9" s="3" customFormat="1" x14ac:dyDescent="0.25">
      <c r="A17" s="23" t="s">
        <v>13</v>
      </c>
      <c r="B17" s="24">
        <v>18</v>
      </c>
      <c r="C17" s="24">
        <v>175</v>
      </c>
      <c r="D17" s="24" t="s">
        <v>21</v>
      </c>
    </row>
    <row r="18" spans="1:9" s="3" customFormat="1" x14ac:dyDescent="0.25">
      <c r="A18" s="23" t="s">
        <v>14</v>
      </c>
      <c r="B18" s="24">
        <v>24</v>
      </c>
      <c r="C18" s="24">
        <v>110</v>
      </c>
      <c r="D18" s="24" t="s">
        <v>22</v>
      </c>
    </row>
    <row r="19" spans="1:9" s="3" customFormat="1" x14ac:dyDescent="0.25">
      <c r="A19" s="23" t="s">
        <v>15</v>
      </c>
      <c r="B19" s="40">
        <v>393</v>
      </c>
      <c r="C19" s="40"/>
      <c r="D19" s="40">
        <v>13632</v>
      </c>
    </row>
    <row r="20" spans="1:9" s="3" customFormat="1" x14ac:dyDescent="0.25">
      <c r="A20" s="16"/>
    </row>
    <row r="21" spans="1:9" x14ac:dyDescent="0.25">
      <c r="A21" s="15" t="s">
        <v>30</v>
      </c>
      <c r="B21" s="15"/>
      <c r="C21" s="15"/>
      <c r="D21" s="15"/>
      <c r="E21" s="18"/>
      <c r="F21" s="18"/>
      <c r="G21" s="18"/>
      <c r="H21" s="3"/>
    </row>
    <row r="22" spans="1:9" ht="42.75" customHeight="1" x14ac:dyDescent="0.25">
      <c r="A22" s="19" t="s">
        <v>23</v>
      </c>
      <c r="B22" s="19" t="s">
        <v>24</v>
      </c>
      <c r="C22" s="19" t="s">
        <v>25</v>
      </c>
      <c r="D22" s="19" t="s">
        <v>17</v>
      </c>
      <c r="E22" s="19" t="s">
        <v>18</v>
      </c>
      <c r="F22" s="20" t="s">
        <v>26</v>
      </c>
      <c r="G22" s="20" t="s">
        <v>27</v>
      </c>
      <c r="H22" s="20" t="s">
        <v>28</v>
      </c>
      <c r="I22" s="20" t="s">
        <v>29</v>
      </c>
    </row>
    <row r="23" spans="1:9" ht="25.5" customHeight="1" x14ac:dyDescent="0.25">
      <c r="A23" s="21">
        <v>1</v>
      </c>
      <c r="B23" s="17" t="s">
        <v>13</v>
      </c>
      <c r="C23" s="17">
        <v>18</v>
      </c>
      <c r="D23" s="17">
        <v>175</v>
      </c>
      <c r="E23" s="17">
        <v>3150</v>
      </c>
      <c r="F23" s="41">
        <f>E23/$E$33</f>
        <v>0.23107394366197184</v>
      </c>
      <c r="G23" s="42">
        <f>F23</f>
        <v>0.23107394366197184</v>
      </c>
      <c r="H23" s="41">
        <f>C23/$C$33</f>
        <v>4.5801526717557252E-2</v>
      </c>
      <c r="I23" s="42">
        <f>H23</f>
        <v>4.5801526717557252E-2</v>
      </c>
    </row>
    <row r="24" spans="1:9" ht="25.5" customHeight="1" x14ac:dyDescent="0.25">
      <c r="A24" s="21">
        <v>2</v>
      </c>
      <c r="B24" s="17" t="s">
        <v>7</v>
      </c>
      <c r="C24" s="17">
        <v>19</v>
      </c>
      <c r="D24" s="17">
        <v>150</v>
      </c>
      <c r="E24" s="17">
        <v>2850</v>
      </c>
      <c r="F24" s="41">
        <f t="shared" ref="F24:F32" si="0">E24/$E$33</f>
        <v>0.20906690140845072</v>
      </c>
      <c r="G24" s="42">
        <f>G23+F24</f>
        <v>0.44014084507042256</v>
      </c>
      <c r="H24" s="41">
        <f t="shared" ref="H24:H33" si="1">C24/$C$33</f>
        <v>4.8346055979643768E-2</v>
      </c>
      <c r="I24" s="42">
        <f>I23+H24</f>
        <v>9.4147582697201027E-2</v>
      </c>
    </row>
    <row r="25" spans="1:9" ht="25.5" customHeight="1" x14ac:dyDescent="0.25">
      <c r="A25" s="21">
        <v>3</v>
      </c>
      <c r="B25" s="17" t="s">
        <v>14</v>
      </c>
      <c r="C25" s="17">
        <v>24</v>
      </c>
      <c r="D25" s="17">
        <v>110</v>
      </c>
      <c r="E25" s="17">
        <v>2640</v>
      </c>
      <c r="F25" s="41">
        <f t="shared" si="0"/>
        <v>0.19366197183098591</v>
      </c>
      <c r="G25" s="42">
        <f t="shared" ref="G25:G32" si="2">G24+F25</f>
        <v>0.63380281690140849</v>
      </c>
      <c r="H25" s="41">
        <f t="shared" si="1"/>
        <v>6.1068702290076333E-2</v>
      </c>
      <c r="I25" s="42">
        <f t="shared" ref="I25:I32" si="3">I24+H25</f>
        <v>0.15521628498727735</v>
      </c>
    </row>
    <row r="26" spans="1:9" ht="25.5" customHeight="1" x14ac:dyDescent="0.25">
      <c r="A26" s="21">
        <v>4</v>
      </c>
      <c r="B26" s="17" t="s">
        <v>11</v>
      </c>
      <c r="C26" s="17">
        <v>18</v>
      </c>
      <c r="D26" s="17">
        <v>125</v>
      </c>
      <c r="E26" s="17">
        <v>2250</v>
      </c>
      <c r="F26" s="41">
        <f t="shared" si="0"/>
        <v>0.16505281690140844</v>
      </c>
      <c r="G26" s="43">
        <f t="shared" si="2"/>
        <v>0.79885563380281699</v>
      </c>
      <c r="H26" s="41">
        <f t="shared" si="1"/>
        <v>4.5801526717557252E-2</v>
      </c>
      <c r="I26" s="43">
        <f t="shared" si="3"/>
        <v>0.2010178117048346</v>
      </c>
    </row>
    <row r="27" spans="1:9" ht="25.5" customHeight="1" x14ac:dyDescent="0.25">
      <c r="A27" s="21">
        <v>5</v>
      </c>
      <c r="B27" s="17" t="s">
        <v>9</v>
      </c>
      <c r="C27" s="17">
        <v>60</v>
      </c>
      <c r="D27" s="17">
        <v>12</v>
      </c>
      <c r="E27" s="17">
        <v>720</v>
      </c>
      <c r="F27" s="41">
        <f t="shared" si="0"/>
        <v>5.2816901408450703E-2</v>
      </c>
      <c r="G27" s="42">
        <f t="shared" si="2"/>
        <v>0.85167253521126773</v>
      </c>
      <c r="H27" s="41">
        <f t="shared" si="1"/>
        <v>0.15267175572519084</v>
      </c>
      <c r="I27" s="42">
        <f t="shared" si="3"/>
        <v>0.35368956743002544</v>
      </c>
    </row>
    <row r="28" spans="1:9" ht="25.5" customHeight="1" x14ac:dyDescent="0.25">
      <c r="A28" s="21">
        <v>6</v>
      </c>
      <c r="B28" s="17" t="s">
        <v>8</v>
      </c>
      <c r="C28" s="17">
        <v>48</v>
      </c>
      <c r="D28" s="17">
        <v>13</v>
      </c>
      <c r="E28" s="17">
        <v>624</v>
      </c>
      <c r="F28" s="41">
        <f t="shared" si="0"/>
        <v>4.5774647887323945E-2</v>
      </c>
      <c r="G28" s="42">
        <f t="shared" si="2"/>
        <v>0.89744718309859173</v>
      </c>
      <c r="H28" s="41">
        <f t="shared" si="1"/>
        <v>0.12213740458015267</v>
      </c>
      <c r="I28" s="42">
        <f t="shared" si="3"/>
        <v>0.4758269720101781</v>
      </c>
    </row>
    <row r="29" spans="1:9" ht="25.5" customHeight="1" x14ac:dyDescent="0.25">
      <c r="A29" s="21">
        <v>7</v>
      </c>
      <c r="B29" s="17" t="s">
        <v>10</v>
      </c>
      <c r="C29" s="17">
        <v>40</v>
      </c>
      <c r="D29" s="17">
        <v>1.05</v>
      </c>
      <c r="E29" s="17">
        <v>600</v>
      </c>
      <c r="F29" s="41">
        <f t="shared" si="0"/>
        <v>4.401408450704225E-2</v>
      </c>
      <c r="G29" s="42">
        <f t="shared" si="2"/>
        <v>0.94146126760563398</v>
      </c>
      <c r="H29" s="41">
        <f t="shared" si="1"/>
        <v>0.10178117048346055</v>
      </c>
      <c r="I29" s="42">
        <f t="shared" si="3"/>
        <v>0.57760814249363868</v>
      </c>
    </row>
    <row r="30" spans="1:9" ht="25.5" customHeight="1" x14ac:dyDescent="0.25">
      <c r="A30" s="21">
        <v>8</v>
      </c>
      <c r="B30" s="17" t="s">
        <v>5</v>
      </c>
      <c r="C30" s="17">
        <v>69</v>
      </c>
      <c r="D30" s="17">
        <v>5</v>
      </c>
      <c r="E30" s="17">
        <v>345</v>
      </c>
      <c r="F30" s="41">
        <f t="shared" si="0"/>
        <v>2.5308098591549297E-2</v>
      </c>
      <c r="G30" s="42">
        <f t="shared" si="2"/>
        <v>0.96676936619718323</v>
      </c>
      <c r="H30" s="41">
        <f t="shared" si="1"/>
        <v>0.17557251908396945</v>
      </c>
      <c r="I30" s="42">
        <f t="shared" si="3"/>
        <v>0.7531806615776081</v>
      </c>
    </row>
    <row r="31" spans="1:9" ht="25.5" customHeight="1" x14ac:dyDescent="0.25">
      <c r="A31" s="21">
        <v>9</v>
      </c>
      <c r="B31" s="17" t="s">
        <v>12</v>
      </c>
      <c r="C31" s="17">
        <v>55</v>
      </c>
      <c r="D31" s="17">
        <v>4.8</v>
      </c>
      <c r="E31" s="17">
        <v>264</v>
      </c>
      <c r="F31" s="41">
        <f t="shared" si="0"/>
        <v>1.936619718309859E-2</v>
      </c>
      <c r="G31" s="42">
        <f t="shared" si="2"/>
        <v>0.98613556338028185</v>
      </c>
      <c r="H31" s="41">
        <f t="shared" si="1"/>
        <v>0.13994910941475827</v>
      </c>
      <c r="I31" s="42">
        <f t="shared" si="3"/>
        <v>0.89312977099236635</v>
      </c>
    </row>
    <row r="32" spans="1:9" ht="25.5" customHeight="1" x14ac:dyDescent="0.25">
      <c r="A32" s="21">
        <v>10</v>
      </c>
      <c r="B32" s="17" t="s">
        <v>6</v>
      </c>
      <c r="C32" s="17">
        <v>42</v>
      </c>
      <c r="D32" s="17">
        <v>4.5</v>
      </c>
      <c r="E32" s="17">
        <v>189</v>
      </c>
      <c r="F32" s="41">
        <f t="shared" si="0"/>
        <v>1.386443661971831E-2</v>
      </c>
      <c r="G32" s="42">
        <f t="shared" si="2"/>
        <v>1.0000000000000002</v>
      </c>
      <c r="H32" s="41">
        <f t="shared" si="1"/>
        <v>0.10687022900763359</v>
      </c>
      <c r="I32" s="42">
        <f t="shared" si="3"/>
        <v>0.99999999999999989</v>
      </c>
    </row>
    <row r="33" spans="1:9" ht="25.5" customHeight="1" x14ac:dyDescent="0.25">
      <c r="A33" s="21" t="s">
        <v>15</v>
      </c>
      <c r="B33" s="17"/>
      <c r="C33" s="17">
        <v>393</v>
      </c>
      <c r="D33" s="17"/>
      <c r="E33" s="17">
        <v>13632</v>
      </c>
      <c r="F33" s="42">
        <f>SUM(F23:F32)</f>
        <v>1.0000000000000002</v>
      </c>
      <c r="G33" s="17"/>
      <c r="H33" s="41">
        <f t="shared" si="1"/>
        <v>1</v>
      </c>
      <c r="I33" s="17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F13" sqref="F13"/>
    </sheetView>
  </sheetViews>
  <sheetFormatPr baseColWidth="10" defaultRowHeight="15.75" x14ac:dyDescent="0.25"/>
  <cols>
    <col min="1" max="9" width="14.42578125" style="2" customWidth="1"/>
    <col min="10" max="16384" width="11.42578125" style="2"/>
  </cols>
  <sheetData>
    <row r="1" spans="1:13" x14ac:dyDescent="0.25">
      <c r="A1" s="25" t="s">
        <v>1</v>
      </c>
      <c r="B1" s="25"/>
      <c r="C1" s="25"/>
      <c r="D1" s="47"/>
      <c r="E1" s="18"/>
      <c r="F1" s="26"/>
      <c r="G1" s="26"/>
      <c r="H1" s="26"/>
      <c r="I1" s="26"/>
      <c r="J1" s="26"/>
      <c r="K1" s="26"/>
      <c r="L1" s="26"/>
    </row>
    <row r="2" spans="1:13" x14ac:dyDescent="0.25">
      <c r="A2" s="27" t="s">
        <v>31</v>
      </c>
      <c r="B2" s="4"/>
      <c r="C2" s="4"/>
      <c r="D2" s="16"/>
      <c r="E2" s="26"/>
      <c r="F2" s="26"/>
      <c r="G2" s="26"/>
      <c r="H2" s="26"/>
      <c r="I2" s="26"/>
      <c r="J2" s="26"/>
      <c r="K2" s="26"/>
      <c r="L2" s="26"/>
    </row>
    <row r="3" spans="1:13" x14ac:dyDescent="0.25">
      <c r="A3" s="28"/>
      <c r="B3" s="29"/>
      <c r="C3" s="29"/>
      <c r="D3" s="29"/>
      <c r="E3" s="26"/>
      <c r="F3" s="26"/>
      <c r="G3" s="26"/>
      <c r="H3" s="26"/>
      <c r="I3" s="26"/>
      <c r="J3" s="26"/>
      <c r="K3" s="26"/>
      <c r="L3" s="26"/>
    </row>
    <row r="4" spans="1:13" x14ac:dyDescent="0.25">
      <c r="A4" s="30" t="s">
        <v>49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</row>
    <row r="5" spans="1:13" ht="15.75" customHeight="1" x14ac:dyDescent="0.25">
      <c r="A5" s="15" t="s">
        <v>50</v>
      </c>
      <c r="B5" s="15"/>
      <c r="C5" s="15"/>
      <c r="D5" s="15"/>
      <c r="E5" s="26"/>
      <c r="F5" s="26"/>
      <c r="G5" s="26"/>
      <c r="H5" s="26"/>
      <c r="I5" s="26"/>
      <c r="J5" s="26"/>
      <c r="K5" s="26"/>
      <c r="L5" s="26"/>
      <c r="M5" s="26"/>
    </row>
    <row r="6" spans="1:13" s="3" customFormat="1" ht="15.75" customHeight="1" x14ac:dyDescent="0.25">
      <c r="A6" s="18"/>
      <c r="B6" s="18"/>
      <c r="C6" s="18"/>
      <c r="D6" s="18"/>
      <c r="E6" s="33"/>
      <c r="F6" s="33"/>
      <c r="G6" s="33"/>
      <c r="H6" s="33"/>
      <c r="I6" s="33"/>
      <c r="J6" s="33"/>
      <c r="K6" s="33"/>
      <c r="L6" s="33"/>
      <c r="M6" s="33"/>
    </row>
    <row r="7" spans="1:13" x14ac:dyDescent="0.25">
      <c r="A7" s="32" t="s">
        <v>52</v>
      </c>
      <c r="B7" s="32"/>
      <c r="C7" s="32"/>
      <c r="D7" s="32"/>
      <c r="E7" s="7"/>
      <c r="F7" s="16"/>
      <c r="G7" s="16"/>
      <c r="H7" s="26"/>
      <c r="I7" s="26"/>
      <c r="J7" s="26"/>
      <c r="K7" s="26"/>
      <c r="L7" s="26"/>
    </row>
    <row r="8" spans="1:13" s="3" customFormat="1" x14ac:dyDescent="0.25">
      <c r="A8" s="16" t="s">
        <v>40</v>
      </c>
      <c r="B8" s="16"/>
      <c r="C8" s="16"/>
      <c r="D8" s="16"/>
      <c r="F8" s="16"/>
      <c r="G8" s="16"/>
      <c r="H8" s="33"/>
      <c r="I8" s="33"/>
      <c r="J8" s="33"/>
      <c r="K8" s="33"/>
      <c r="L8" s="33"/>
    </row>
    <row r="9" spans="1:13" s="3" customFormat="1" x14ac:dyDescent="0.25">
      <c r="A9" s="51" t="s">
        <v>41</v>
      </c>
      <c r="B9" s="51"/>
      <c r="C9" s="51"/>
      <c r="D9" s="36">
        <v>960</v>
      </c>
      <c r="F9" s="16"/>
      <c r="G9" s="16"/>
      <c r="H9" s="33"/>
      <c r="I9" s="33"/>
      <c r="J9" s="33"/>
      <c r="K9" s="33"/>
      <c r="L9" s="33"/>
    </row>
    <row r="10" spans="1:13" s="3" customFormat="1" x14ac:dyDescent="0.25">
      <c r="A10" s="51" t="s">
        <v>47</v>
      </c>
      <c r="B10" s="51"/>
      <c r="C10" s="51"/>
      <c r="D10" s="36">
        <v>24</v>
      </c>
      <c r="F10" s="16"/>
      <c r="G10" s="16"/>
      <c r="H10" s="33"/>
      <c r="I10" s="33"/>
      <c r="J10" s="33"/>
      <c r="K10" s="33"/>
      <c r="L10" s="33"/>
    </row>
    <row r="11" spans="1:13" s="3" customFormat="1" x14ac:dyDescent="0.25">
      <c r="A11" s="51" t="s">
        <v>44</v>
      </c>
      <c r="B11" s="51"/>
      <c r="C11" s="51"/>
      <c r="D11" s="36">
        <v>40</v>
      </c>
      <c r="F11" s="16"/>
      <c r="G11" s="16"/>
      <c r="H11" s="33"/>
      <c r="I11" s="33"/>
      <c r="J11" s="33"/>
      <c r="K11" s="33"/>
      <c r="L11" s="33"/>
    </row>
    <row r="12" spans="1:13" s="3" customFormat="1" ht="28.5" customHeight="1" x14ac:dyDescent="0.25">
      <c r="A12" s="52" t="s">
        <v>45</v>
      </c>
      <c r="B12" s="52"/>
      <c r="C12" s="52"/>
      <c r="D12" s="36">
        <v>10</v>
      </c>
      <c r="F12" s="16"/>
      <c r="G12" s="16"/>
      <c r="H12" s="33"/>
      <c r="I12" s="33"/>
      <c r="J12" s="33"/>
      <c r="K12" s="33"/>
      <c r="L12" s="33"/>
    </row>
    <row r="13" spans="1:13" x14ac:dyDescent="0.25">
      <c r="A13" s="51" t="s">
        <v>42</v>
      </c>
      <c r="B13" s="51"/>
      <c r="C13" s="51"/>
      <c r="D13" s="37">
        <v>7.5</v>
      </c>
    </row>
    <row r="14" spans="1:13" x14ac:dyDescent="0.25">
      <c r="A14" s="53" t="s">
        <v>43</v>
      </c>
      <c r="B14" s="53"/>
      <c r="C14" s="53"/>
      <c r="D14" s="34">
        <v>3</v>
      </c>
      <c r="F14" s="3"/>
      <c r="G14" s="3"/>
      <c r="H14" s="3"/>
      <c r="I14" s="3"/>
    </row>
    <row r="15" spans="1:13" x14ac:dyDescent="0.25">
      <c r="A15" s="50" t="s">
        <v>46</v>
      </c>
      <c r="B15" s="50"/>
      <c r="C15" s="50"/>
      <c r="D15" s="35">
        <v>0.08</v>
      </c>
    </row>
    <row r="16" spans="1:13" x14ac:dyDescent="0.25">
      <c r="A16" s="38"/>
      <c r="B16" s="38"/>
      <c r="C16" s="38"/>
      <c r="D16" s="39"/>
    </row>
    <row r="17" spans="1:9" x14ac:dyDescent="0.25">
      <c r="A17" s="6" t="s">
        <v>39</v>
      </c>
      <c r="B17" s="6"/>
      <c r="C17" s="8"/>
    </row>
    <row r="19" spans="1:9" ht="47.25" x14ac:dyDescent="0.25">
      <c r="A19" s="44" t="s">
        <v>32</v>
      </c>
      <c r="B19" s="44" t="s">
        <v>33</v>
      </c>
      <c r="C19" s="44" t="s">
        <v>34</v>
      </c>
      <c r="D19" s="44" t="s">
        <v>0</v>
      </c>
      <c r="E19" s="44" t="s">
        <v>48</v>
      </c>
      <c r="F19" s="44" t="s">
        <v>35</v>
      </c>
      <c r="G19" s="44" t="s">
        <v>36</v>
      </c>
      <c r="H19" s="44" t="s">
        <v>37</v>
      </c>
      <c r="I19" s="44" t="s">
        <v>38</v>
      </c>
    </row>
    <row r="20" spans="1:9" ht="24" customHeight="1" x14ac:dyDescent="0.25">
      <c r="A20" s="12">
        <v>4</v>
      </c>
      <c r="B20" s="12">
        <f>$D$9/A20</f>
        <v>240</v>
      </c>
      <c r="C20" s="12">
        <f>$D$12+B20</f>
        <v>250</v>
      </c>
      <c r="D20" s="12">
        <f>$D$12</f>
        <v>10</v>
      </c>
      <c r="E20" s="12">
        <f>(C20+D20)/2</f>
        <v>130</v>
      </c>
      <c r="F20" s="45">
        <f>E20*$D$13</f>
        <v>975</v>
      </c>
      <c r="G20" s="46">
        <f>A20*$D$14</f>
        <v>12</v>
      </c>
      <c r="H20" s="45">
        <f>F20*$D$15</f>
        <v>78</v>
      </c>
      <c r="I20" s="46">
        <f>G20+H20</f>
        <v>90</v>
      </c>
    </row>
    <row r="21" spans="1:9" ht="24" customHeight="1" x14ac:dyDescent="0.25">
      <c r="A21" s="12">
        <v>6</v>
      </c>
      <c r="B21" s="12">
        <f t="shared" ref="B21:B23" si="0">$D$9/A21</f>
        <v>160</v>
      </c>
      <c r="C21" s="12">
        <f t="shared" ref="C21:C23" si="1">$D$12+B21</f>
        <v>170</v>
      </c>
      <c r="D21" s="12">
        <f t="shared" ref="D21:D23" si="2">$D$12</f>
        <v>10</v>
      </c>
      <c r="E21" s="12">
        <f t="shared" ref="E21:E23" si="3">(C21+D21)/2</f>
        <v>90</v>
      </c>
      <c r="F21" s="45">
        <f t="shared" ref="F21:F23" si="4">E21*$D$13</f>
        <v>675</v>
      </c>
      <c r="G21" s="46">
        <f t="shared" ref="G21:G23" si="5">A21*$D$14</f>
        <v>18</v>
      </c>
      <c r="H21" s="45">
        <f t="shared" ref="H21:H23" si="6">F21*$D$15</f>
        <v>54</v>
      </c>
      <c r="I21" s="46">
        <f t="shared" ref="I21:I23" si="7">G21+H21</f>
        <v>72</v>
      </c>
    </row>
    <row r="22" spans="1:9" ht="24" customHeight="1" x14ac:dyDescent="0.25">
      <c r="A22" s="49">
        <v>12</v>
      </c>
      <c r="B22" s="12">
        <f t="shared" si="0"/>
        <v>80</v>
      </c>
      <c r="C22" s="12">
        <f t="shared" si="1"/>
        <v>90</v>
      </c>
      <c r="D22" s="12">
        <f t="shared" si="2"/>
        <v>10</v>
      </c>
      <c r="E22" s="12">
        <f t="shared" si="3"/>
        <v>50</v>
      </c>
      <c r="F22" s="45">
        <f t="shared" si="4"/>
        <v>375</v>
      </c>
      <c r="G22" s="46">
        <f t="shared" si="5"/>
        <v>36</v>
      </c>
      <c r="H22" s="45">
        <f t="shared" si="6"/>
        <v>30</v>
      </c>
      <c r="I22" s="48">
        <f t="shared" si="7"/>
        <v>66</v>
      </c>
    </row>
    <row r="23" spans="1:9" ht="24" customHeight="1" x14ac:dyDescent="0.25">
      <c r="A23" s="12">
        <v>24</v>
      </c>
      <c r="B23" s="12">
        <f t="shared" si="0"/>
        <v>40</v>
      </c>
      <c r="C23" s="12">
        <f t="shared" si="1"/>
        <v>50</v>
      </c>
      <c r="D23" s="12">
        <f t="shared" si="2"/>
        <v>10</v>
      </c>
      <c r="E23" s="12">
        <f t="shared" si="3"/>
        <v>30</v>
      </c>
      <c r="F23" s="45">
        <f t="shared" si="4"/>
        <v>225</v>
      </c>
      <c r="G23" s="46">
        <f t="shared" si="5"/>
        <v>72</v>
      </c>
      <c r="H23" s="45">
        <f t="shared" si="6"/>
        <v>18</v>
      </c>
      <c r="I23" s="46">
        <f t="shared" si="7"/>
        <v>90</v>
      </c>
    </row>
  </sheetData>
  <mergeCells count="7">
    <mergeCell ref="A15:C15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Q3 - cas CH4</vt:lpstr>
      <vt:lpstr>Q7 - cas CH4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2021-11-09T17:30:01Z</dcterms:modified>
</cp:coreProperties>
</file>