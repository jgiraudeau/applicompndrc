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camil\Documents\FOUCHER BTS CO 21\BTS MCO\BLOC 3\Missions_Exercices_Corriges 7 dossiers (2)\Missions_Excercices_chap10\"/>
    </mc:Choice>
  </mc:AlternateContent>
  <xr:revisionPtr revIDLastSave="0" documentId="13_ncr:1_{181CAFBF-F136-4AB6-8705-0BDDC2ECFA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ice 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C40" i="1"/>
  <c r="B39" i="1"/>
  <c r="B34" i="1"/>
  <c r="B33" i="1"/>
  <c r="B10" i="1"/>
  <c r="B9" i="1"/>
  <c r="B15" i="1"/>
  <c r="B35" i="1" l="1"/>
  <c r="C39" i="1" s="1"/>
  <c r="D39" i="1" s="1"/>
  <c r="B11" i="1"/>
  <c r="C15" i="1" s="1"/>
  <c r="D15" i="1" s="1"/>
  <c r="E39" i="1" l="1"/>
  <c r="B40" i="1" s="1"/>
  <c r="B36" i="1"/>
  <c r="B12" i="1"/>
  <c r="E15" i="1"/>
  <c r="B16" i="1" s="1"/>
  <c r="D40" i="1" l="1"/>
  <c r="C16" i="1"/>
  <c r="D16" i="1" s="1"/>
  <c r="E40" i="1" l="1"/>
  <c r="B41" i="1" s="1"/>
  <c r="E16" i="1"/>
  <c r="B17" i="1" s="1"/>
  <c r="D41" i="1" l="1"/>
  <c r="C17" i="1"/>
  <c r="D17" i="1" s="1"/>
  <c r="E41" i="1" l="1"/>
  <c r="B42" i="1" s="1"/>
  <c r="C42" i="1" s="1"/>
  <c r="E17" i="1"/>
  <c r="B18" i="1" s="1"/>
  <c r="D42" i="1" l="1"/>
  <c r="C18" i="1"/>
  <c r="D18" i="1" s="1"/>
  <c r="E42" i="1" l="1"/>
  <c r="B43" i="1" s="1"/>
  <c r="C43" i="1" s="1"/>
  <c r="E18" i="1"/>
  <c r="B19" i="1" s="1"/>
  <c r="C19" i="1" s="1"/>
  <c r="D43" i="1" l="1"/>
  <c r="E19" i="1"/>
  <c r="B20" i="1" s="1"/>
  <c r="D19" i="1"/>
  <c r="E43" i="1" l="1"/>
  <c r="B44" i="1" s="1"/>
  <c r="C44" i="1" s="1"/>
  <c r="C20" i="1"/>
  <c r="D20" i="1" s="1"/>
  <c r="D44" i="1" l="1"/>
  <c r="E20" i="1"/>
  <c r="B21" i="1" s="1"/>
  <c r="E44" i="1" l="1"/>
  <c r="B45" i="1" s="1"/>
  <c r="C45" i="1" s="1"/>
  <c r="D45" i="1"/>
  <c r="C21" i="1"/>
  <c r="D21" i="1" s="1"/>
  <c r="E45" i="1" l="1"/>
  <c r="B46" i="1" s="1"/>
  <c r="C46" i="1" s="1"/>
  <c r="E21" i="1"/>
  <c r="B22" i="1" s="1"/>
  <c r="C22" i="1" s="1"/>
  <c r="D46" i="1" l="1"/>
  <c r="D22" i="1"/>
  <c r="E22" i="1"/>
  <c r="B23" i="1" s="1"/>
  <c r="E46" i="1" l="1"/>
  <c r="B47" i="1" s="1"/>
  <c r="C47" i="1" s="1"/>
  <c r="C23" i="1"/>
  <c r="D23" i="1" s="1"/>
  <c r="D47" i="1" l="1"/>
  <c r="E23" i="1"/>
  <c r="B24" i="1" s="1"/>
  <c r="C24" i="1" s="1"/>
  <c r="D24" i="1" s="1"/>
  <c r="E24" i="1"/>
  <c r="B25" i="1" s="1"/>
  <c r="C25" i="1" s="1"/>
  <c r="D25" i="1" s="1"/>
  <c r="E47" i="1" l="1"/>
  <c r="B48" i="1" s="1"/>
  <c r="C48" i="1" s="1"/>
  <c r="E25" i="1"/>
  <c r="D48" i="1" l="1"/>
  <c r="E48" i="1" l="1"/>
  <c r="B49" i="1" s="1"/>
  <c r="C49" i="1" s="1"/>
  <c r="D49" i="1" l="1"/>
  <c r="E49" i="1" l="1"/>
</calcChain>
</file>

<file path=xl/sharedStrings.xml><?xml version="1.0" encoding="utf-8"?>
<sst xmlns="http://schemas.openxmlformats.org/spreadsheetml/2006/main" count="55" uniqueCount="29">
  <si>
    <t>Période</t>
  </si>
  <si>
    <t>VNC début</t>
  </si>
  <si>
    <t>Annuité</t>
  </si>
  <si>
    <t>VNC fin</t>
  </si>
  <si>
    <t>N</t>
  </si>
  <si>
    <t>N+1</t>
  </si>
  <si>
    <t>N+2</t>
  </si>
  <si>
    <t>N+3</t>
  </si>
  <si>
    <t>N+4</t>
  </si>
  <si>
    <t>N+5</t>
  </si>
  <si>
    <t>Amortis-
sement</t>
  </si>
  <si>
    <t>Valeur d'origine</t>
  </si>
  <si>
    <t xml:space="preserve">Durée de vie </t>
  </si>
  <si>
    <t>€</t>
  </si>
  <si>
    <t>ans</t>
  </si>
  <si>
    <t>mois d'acquisition</t>
  </si>
  <si>
    <t>Jour d'acquisition</t>
  </si>
  <si>
    <t>Nombre de jours</t>
  </si>
  <si>
    <t>Annuité normale</t>
  </si>
  <si>
    <t>Première annuité</t>
  </si>
  <si>
    <t>N+6</t>
  </si>
  <si>
    <t>N+7</t>
  </si>
  <si>
    <t>N+8</t>
  </si>
  <si>
    <t>N+9</t>
  </si>
  <si>
    <t>N+10</t>
  </si>
  <si>
    <t>Dernière annuité</t>
  </si>
  <si>
    <t>Exercice 12</t>
  </si>
  <si>
    <t>Scooter</t>
  </si>
  <si>
    <t>Véhicule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</si>
</sst>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3" workbookViewId="0">
      <selection activeCell="H54" sqref="H54"/>
    </sheetView>
  </sheetViews>
  <sheetFormatPr baseColWidth="10" defaultRowHeight="14.4" x14ac:dyDescent="0.3"/>
  <cols>
    <col min="1" max="1" width="21" customWidth="1"/>
  </cols>
  <sheetData>
    <row r="1" spans="1:5" x14ac:dyDescent="0.3">
      <c r="A1" s="4" t="s">
        <v>26</v>
      </c>
    </row>
    <row r="2" spans="1:5" x14ac:dyDescent="0.3">
      <c r="A2" s="4"/>
    </row>
    <row r="3" spans="1:5" x14ac:dyDescent="0.3">
      <c r="A3" t="s">
        <v>27</v>
      </c>
    </row>
    <row r="4" spans="1:5" x14ac:dyDescent="0.3">
      <c r="A4" t="s">
        <v>11</v>
      </c>
      <c r="B4">
        <v>4000</v>
      </c>
      <c r="C4" t="s">
        <v>13</v>
      </c>
    </row>
    <row r="5" spans="1:5" x14ac:dyDescent="0.3">
      <c r="A5" t="s">
        <v>12</v>
      </c>
      <c r="B5">
        <v>4</v>
      </c>
      <c r="C5" t="s">
        <v>14</v>
      </c>
    </row>
    <row r="6" spans="1:5" x14ac:dyDescent="0.3">
      <c r="A6" t="s">
        <v>15</v>
      </c>
      <c r="B6">
        <v>7</v>
      </c>
    </row>
    <row r="7" spans="1:5" x14ac:dyDescent="0.3">
      <c r="A7" t="s">
        <v>16</v>
      </c>
      <c r="B7">
        <v>0</v>
      </c>
    </row>
    <row r="9" spans="1:5" x14ac:dyDescent="0.3">
      <c r="A9" t="s">
        <v>17</v>
      </c>
      <c r="B9">
        <f>(30-B7)+(12-B6)*30</f>
        <v>180</v>
      </c>
    </row>
    <row r="10" spans="1:5" x14ac:dyDescent="0.3">
      <c r="A10" t="s">
        <v>18</v>
      </c>
      <c r="B10">
        <f>B4/B5</f>
        <v>1000</v>
      </c>
    </row>
    <row r="11" spans="1:5" x14ac:dyDescent="0.3">
      <c r="A11" t="s">
        <v>19</v>
      </c>
      <c r="B11">
        <f>B10*B9/360</f>
        <v>500</v>
      </c>
    </row>
    <row r="12" spans="1:5" x14ac:dyDescent="0.3">
      <c r="A12" t="s">
        <v>25</v>
      </c>
      <c r="B12">
        <f>B10-B11</f>
        <v>500</v>
      </c>
    </row>
    <row r="14" spans="1:5" ht="27.6" x14ac:dyDescent="0.3">
      <c r="A14" s="1" t="s">
        <v>0</v>
      </c>
      <c r="B14" s="1" t="s">
        <v>1</v>
      </c>
      <c r="C14" s="1" t="s">
        <v>2</v>
      </c>
      <c r="D14" s="1" t="s">
        <v>10</v>
      </c>
      <c r="E14" s="1" t="s">
        <v>3</v>
      </c>
    </row>
    <row r="15" spans="1:5" x14ac:dyDescent="0.3">
      <c r="A15" s="2" t="s">
        <v>4</v>
      </c>
      <c r="B15" s="3">
        <f>B4</f>
        <v>4000</v>
      </c>
      <c r="C15" s="3">
        <f>B11</f>
        <v>500</v>
      </c>
      <c r="D15" s="3">
        <f>C15</f>
        <v>500</v>
      </c>
      <c r="E15" s="3">
        <f>B15-C15</f>
        <v>3500</v>
      </c>
    </row>
    <row r="16" spans="1:5" x14ac:dyDescent="0.3">
      <c r="A16" s="2" t="s">
        <v>5</v>
      </c>
      <c r="B16" s="3">
        <f>E15</f>
        <v>3500</v>
      </c>
      <c r="C16" s="3">
        <f>IF($B$10&lt;B16,$B$10,B16)</f>
        <v>1000</v>
      </c>
      <c r="D16" s="3">
        <f t="shared" ref="D16:D25" si="0">C16</f>
        <v>1000</v>
      </c>
      <c r="E16" s="3">
        <f t="shared" ref="E16:E25" si="1">B16-C16</f>
        <v>2500</v>
      </c>
    </row>
    <row r="17" spans="1:5" x14ac:dyDescent="0.3">
      <c r="A17" s="2" t="s">
        <v>6</v>
      </c>
      <c r="B17" s="3">
        <f t="shared" ref="B17:B25" si="2">E16</f>
        <v>2500</v>
      </c>
      <c r="C17" s="3">
        <f t="shared" ref="C17:C25" si="3">IF($B$10&lt;B17,$B$10,B17)</f>
        <v>1000</v>
      </c>
      <c r="D17" s="3">
        <f t="shared" si="0"/>
        <v>1000</v>
      </c>
      <c r="E17" s="3">
        <f t="shared" si="1"/>
        <v>1500</v>
      </c>
    </row>
    <row r="18" spans="1:5" x14ac:dyDescent="0.3">
      <c r="A18" s="2" t="s">
        <v>7</v>
      </c>
      <c r="B18" s="3">
        <f t="shared" si="2"/>
        <v>1500</v>
      </c>
      <c r="C18" s="3">
        <f t="shared" si="3"/>
        <v>1000</v>
      </c>
      <c r="D18" s="3">
        <f t="shared" si="0"/>
        <v>1000</v>
      </c>
      <c r="E18" s="3">
        <f t="shared" si="1"/>
        <v>500</v>
      </c>
    </row>
    <row r="19" spans="1:5" x14ac:dyDescent="0.3">
      <c r="A19" s="2" t="s">
        <v>8</v>
      </c>
      <c r="B19" s="3">
        <f t="shared" si="2"/>
        <v>500</v>
      </c>
      <c r="C19" s="3">
        <f t="shared" si="3"/>
        <v>500</v>
      </c>
      <c r="D19" s="3">
        <f t="shared" si="0"/>
        <v>500</v>
      </c>
      <c r="E19" s="3">
        <f t="shared" si="1"/>
        <v>0</v>
      </c>
    </row>
    <row r="20" spans="1:5" x14ac:dyDescent="0.3">
      <c r="A20" s="2" t="s">
        <v>9</v>
      </c>
      <c r="B20" s="3">
        <f t="shared" si="2"/>
        <v>0</v>
      </c>
      <c r="C20" s="3">
        <f t="shared" si="3"/>
        <v>0</v>
      </c>
      <c r="D20" s="3">
        <f t="shared" si="0"/>
        <v>0</v>
      </c>
      <c r="E20" s="3">
        <f t="shared" si="1"/>
        <v>0</v>
      </c>
    </row>
    <row r="21" spans="1:5" x14ac:dyDescent="0.3">
      <c r="A21" s="2" t="s">
        <v>20</v>
      </c>
      <c r="B21" s="3">
        <f t="shared" si="2"/>
        <v>0</v>
      </c>
      <c r="C21" s="3">
        <f t="shared" si="3"/>
        <v>0</v>
      </c>
      <c r="D21" s="3">
        <f t="shared" si="0"/>
        <v>0</v>
      </c>
      <c r="E21" s="3">
        <f t="shared" si="1"/>
        <v>0</v>
      </c>
    </row>
    <row r="22" spans="1:5" x14ac:dyDescent="0.3">
      <c r="A22" s="2" t="s">
        <v>21</v>
      </c>
      <c r="B22" s="3">
        <f t="shared" si="2"/>
        <v>0</v>
      </c>
      <c r="C22" s="3">
        <f t="shared" si="3"/>
        <v>0</v>
      </c>
      <c r="D22" s="3">
        <f t="shared" si="0"/>
        <v>0</v>
      </c>
      <c r="E22" s="3">
        <f t="shared" si="1"/>
        <v>0</v>
      </c>
    </row>
    <row r="23" spans="1:5" x14ac:dyDescent="0.3">
      <c r="A23" s="2" t="s">
        <v>22</v>
      </c>
      <c r="B23" s="3">
        <f t="shared" si="2"/>
        <v>0</v>
      </c>
      <c r="C23" s="3">
        <f t="shared" si="3"/>
        <v>0</v>
      </c>
      <c r="D23" s="3">
        <f t="shared" si="0"/>
        <v>0</v>
      </c>
      <c r="E23" s="3">
        <f t="shared" si="1"/>
        <v>0</v>
      </c>
    </row>
    <row r="24" spans="1:5" x14ac:dyDescent="0.3">
      <c r="A24" s="2" t="s">
        <v>23</v>
      </c>
      <c r="B24" s="3">
        <f t="shared" si="2"/>
        <v>0</v>
      </c>
      <c r="C24" s="3">
        <f t="shared" si="3"/>
        <v>0</v>
      </c>
      <c r="D24" s="3">
        <f t="shared" si="0"/>
        <v>0</v>
      </c>
      <c r="E24" s="3">
        <f t="shared" si="1"/>
        <v>0</v>
      </c>
    </row>
    <row r="25" spans="1:5" x14ac:dyDescent="0.3">
      <c r="A25" s="2" t="s">
        <v>24</v>
      </c>
      <c r="B25" s="3">
        <f t="shared" si="2"/>
        <v>0</v>
      </c>
      <c r="C25" s="3">
        <f t="shared" si="3"/>
        <v>0</v>
      </c>
      <c r="D25" s="3">
        <f t="shared" si="0"/>
        <v>0</v>
      </c>
      <c r="E25" s="3">
        <f t="shared" si="1"/>
        <v>0</v>
      </c>
    </row>
    <row r="27" spans="1:5" x14ac:dyDescent="0.3">
      <c r="A27" t="s">
        <v>28</v>
      </c>
    </row>
    <row r="28" spans="1:5" x14ac:dyDescent="0.3">
      <c r="A28" t="s">
        <v>11</v>
      </c>
      <c r="B28">
        <v>9000</v>
      </c>
      <c r="C28" t="s">
        <v>13</v>
      </c>
    </row>
    <row r="29" spans="1:5" x14ac:dyDescent="0.3">
      <c r="A29" t="s">
        <v>12</v>
      </c>
      <c r="B29">
        <v>5</v>
      </c>
      <c r="C29" t="s">
        <v>14</v>
      </c>
    </row>
    <row r="30" spans="1:5" x14ac:dyDescent="0.3">
      <c r="A30" t="s">
        <v>15</v>
      </c>
      <c r="B30">
        <v>10</v>
      </c>
    </row>
    <row r="31" spans="1:5" x14ac:dyDescent="0.3">
      <c r="A31" t="s">
        <v>16</v>
      </c>
      <c r="B31">
        <v>15</v>
      </c>
    </row>
    <row r="33" spans="1:5" x14ac:dyDescent="0.3">
      <c r="A33" t="s">
        <v>17</v>
      </c>
      <c r="B33">
        <f>(30-B31)+(12-B30)*30</f>
        <v>75</v>
      </c>
    </row>
    <row r="34" spans="1:5" x14ac:dyDescent="0.3">
      <c r="A34" t="s">
        <v>18</v>
      </c>
      <c r="B34">
        <f>B28/B29</f>
        <v>1800</v>
      </c>
    </row>
    <row r="35" spans="1:5" x14ac:dyDescent="0.3">
      <c r="A35" t="s">
        <v>19</v>
      </c>
      <c r="B35">
        <f>B34*B33/360</f>
        <v>375</v>
      </c>
    </row>
    <row r="36" spans="1:5" x14ac:dyDescent="0.3">
      <c r="A36" t="s">
        <v>25</v>
      </c>
      <c r="B36">
        <f>B34-B35</f>
        <v>1425</v>
      </c>
    </row>
    <row r="38" spans="1:5" ht="27.6" x14ac:dyDescent="0.3">
      <c r="A38" s="1" t="s">
        <v>0</v>
      </c>
      <c r="B38" s="1" t="s">
        <v>1</v>
      </c>
      <c r="C38" s="1" t="s">
        <v>2</v>
      </c>
      <c r="D38" s="1" t="s">
        <v>10</v>
      </c>
      <c r="E38" s="1" t="s">
        <v>3</v>
      </c>
    </row>
    <row r="39" spans="1:5" x14ac:dyDescent="0.3">
      <c r="A39" s="2" t="s">
        <v>4</v>
      </c>
      <c r="B39" s="3">
        <f>B28</f>
        <v>9000</v>
      </c>
      <c r="C39" s="3">
        <f>B35</f>
        <v>375</v>
      </c>
      <c r="D39" s="3">
        <f>C39</f>
        <v>375</v>
      </c>
      <c r="E39" s="3">
        <f>B39-C39</f>
        <v>8625</v>
      </c>
    </row>
    <row r="40" spans="1:5" x14ac:dyDescent="0.3">
      <c r="A40" s="2" t="s">
        <v>5</v>
      </c>
      <c r="B40" s="3">
        <f>E39</f>
        <v>8625</v>
      </c>
      <c r="C40" s="3">
        <f>IF($B$34&lt;B40,$B$34,B40)</f>
        <v>1800</v>
      </c>
      <c r="D40" s="3">
        <f t="shared" ref="D40:D49" si="4">C40</f>
        <v>1800</v>
      </c>
      <c r="E40" s="3">
        <f t="shared" ref="E40:E49" si="5">B40-C40</f>
        <v>6825</v>
      </c>
    </row>
    <row r="41" spans="1:5" x14ac:dyDescent="0.3">
      <c r="A41" s="2" t="s">
        <v>6</v>
      </c>
      <c r="B41" s="3">
        <f t="shared" ref="B41:B49" si="6">E40</f>
        <v>6825</v>
      </c>
      <c r="C41" s="3">
        <f t="shared" ref="C41:C49" si="7">IF($B$34&lt;B41,$B$34,B41)</f>
        <v>1800</v>
      </c>
      <c r="D41" s="3">
        <f t="shared" si="4"/>
        <v>1800</v>
      </c>
      <c r="E41" s="3">
        <f t="shared" si="5"/>
        <v>5025</v>
      </c>
    </row>
    <row r="42" spans="1:5" x14ac:dyDescent="0.3">
      <c r="A42" s="2" t="s">
        <v>7</v>
      </c>
      <c r="B42" s="3">
        <f t="shared" si="6"/>
        <v>5025</v>
      </c>
      <c r="C42" s="3">
        <f t="shared" si="7"/>
        <v>1800</v>
      </c>
      <c r="D42" s="3">
        <f t="shared" si="4"/>
        <v>1800</v>
      </c>
      <c r="E42" s="3">
        <f t="shared" si="5"/>
        <v>3225</v>
      </c>
    </row>
    <row r="43" spans="1:5" x14ac:dyDescent="0.3">
      <c r="A43" s="2" t="s">
        <v>8</v>
      </c>
      <c r="B43" s="3">
        <f t="shared" si="6"/>
        <v>3225</v>
      </c>
      <c r="C43" s="3">
        <f t="shared" si="7"/>
        <v>1800</v>
      </c>
      <c r="D43" s="3">
        <f t="shared" si="4"/>
        <v>1800</v>
      </c>
      <c r="E43" s="3">
        <f t="shared" si="5"/>
        <v>1425</v>
      </c>
    </row>
    <row r="44" spans="1:5" x14ac:dyDescent="0.3">
      <c r="A44" s="2" t="s">
        <v>9</v>
      </c>
      <c r="B44" s="3">
        <f t="shared" si="6"/>
        <v>1425</v>
      </c>
      <c r="C44" s="3">
        <f t="shared" si="7"/>
        <v>1425</v>
      </c>
      <c r="D44" s="3">
        <f t="shared" si="4"/>
        <v>1425</v>
      </c>
      <c r="E44" s="3">
        <f t="shared" si="5"/>
        <v>0</v>
      </c>
    </row>
    <row r="45" spans="1:5" x14ac:dyDescent="0.3">
      <c r="A45" s="2" t="s">
        <v>20</v>
      </c>
      <c r="B45" s="3">
        <f t="shared" si="6"/>
        <v>0</v>
      </c>
      <c r="C45" s="3">
        <f t="shared" si="7"/>
        <v>0</v>
      </c>
      <c r="D45" s="3">
        <f t="shared" si="4"/>
        <v>0</v>
      </c>
      <c r="E45" s="3">
        <f t="shared" si="5"/>
        <v>0</v>
      </c>
    </row>
    <row r="46" spans="1:5" x14ac:dyDescent="0.3">
      <c r="A46" s="2" t="s">
        <v>21</v>
      </c>
      <c r="B46" s="3">
        <f t="shared" si="6"/>
        <v>0</v>
      </c>
      <c r="C46" s="3">
        <f t="shared" si="7"/>
        <v>0</v>
      </c>
      <c r="D46" s="3">
        <f t="shared" si="4"/>
        <v>0</v>
      </c>
      <c r="E46" s="3">
        <f t="shared" si="5"/>
        <v>0</v>
      </c>
    </row>
    <row r="47" spans="1:5" x14ac:dyDescent="0.3">
      <c r="A47" s="2" t="s">
        <v>22</v>
      </c>
      <c r="B47" s="3">
        <f t="shared" si="6"/>
        <v>0</v>
      </c>
      <c r="C47" s="3">
        <f t="shared" si="7"/>
        <v>0</v>
      </c>
      <c r="D47" s="3">
        <f t="shared" si="4"/>
        <v>0</v>
      </c>
      <c r="E47" s="3">
        <f t="shared" si="5"/>
        <v>0</v>
      </c>
    </row>
    <row r="48" spans="1:5" x14ac:dyDescent="0.3">
      <c r="A48" s="2" t="s">
        <v>23</v>
      </c>
      <c r="B48" s="3">
        <f t="shared" si="6"/>
        <v>0</v>
      </c>
      <c r="C48" s="3">
        <f t="shared" si="7"/>
        <v>0</v>
      </c>
      <c r="D48" s="3">
        <f t="shared" si="4"/>
        <v>0</v>
      </c>
      <c r="E48" s="3">
        <f t="shared" si="5"/>
        <v>0</v>
      </c>
    </row>
    <row r="49" spans="1:5" x14ac:dyDescent="0.3">
      <c r="A49" s="2" t="s">
        <v>24</v>
      </c>
      <c r="B49" s="3">
        <f t="shared" si="6"/>
        <v>0</v>
      </c>
      <c r="C49" s="3">
        <f t="shared" si="7"/>
        <v>0</v>
      </c>
      <c r="D49" s="3">
        <f t="shared" si="4"/>
        <v>0</v>
      </c>
      <c r="E49" s="3">
        <f t="shared" si="5"/>
        <v>0</v>
      </c>
    </row>
  </sheetData>
  <sortState xmlns:xlrd2="http://schemas.microsoft.com/office/spreadsheetml/2017/richdata2" ref="A25:I29">
    <sortCondition ref="E25:E29"/>
  </sortState>
  <phoneticPr fontId="4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Camille</cp:lastModifiedBy>
  <dcterms:created xsi:type="dcterms:W3CDTF">2018-09-15T07:22:50Z</dcterms:created>
  <dcterms:modified xsi:type="dcterms:W3CDTF">2021-06-01T14:58:32Z</dcterms:modified>
</cp:coreProperties>
</file>