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camil\Documents\FOUCHER BTS CO 21\BTS MCO\BLOC 3\Missions_Exercices_Corriges 7 dossiers (2)\Missions_Excercices_chap10\"/>
    </mc:Choice>
  </mc:AlternateContent>
  <xr:revisionPtr revIDLastSave="0" documentId="13_ncr:1_{31756F97-6AA1-474E-BD36-163685B3C5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ssion 2 - Question 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12" i="1"/>
  <c r="B8" i="1" l="1"/>
  <c r="C12" i="1" s="1"/>
  <c r="D12" i="1" s="1"/>
  <c r="B9" i="1" l="1"/>
  <c r="E12" i="1"/>
  <c r="B13" i="1" s="1"/>
  <c r="C13" i="1" l="1"/>
  <c r="D13" i="1" s="1"/>
  <c r="E13" i="1" l="1"/>
  <c r="B14" i="1" s="1"/>
  <c r="C14" i="1" l="1"/>
  <c r="D14" i="1" s="1"/>
  <c r="E14" i="1" l="1"/>
  <c r="B15" i="1" s="1"/>
  <c r="C15" i="1" l="1"/>
  <c r="D15" i="1" s="1"/>
  <c r="E15" i="1" l="1"/>
  <c r="B16" i="1" s="1"/>
  <c r="C16" i="1" s="1"/>
  <c r="E16" i="1" l="1"/>
  <c r="B17" i="1" s="1"/>
  <c r="D16" i="1"/>
  <c r="C17" i="1" l="1"/>
  <c r="D17" i="1" s="1"/>
  <c r="E17" i="1" l="1"/>
  <c r="B18" i="1" s="1"/>
  <c r="C18" i="1" l="1"/>
  <c r="D18" i="1" s="1"/>
  <c r="E18" i="1" l="1"/>
  <c r="B19" i="1" s="1"/>
  <c r="E19" i="1" s="1"/>
  <c r="B20" i="1" s="1"/>
  <c r="C19" i="1"/>
  <c r="D19" i="1" s="1"/>
  <c r="C20" i="1" l="1"/>
  <c r="D20" i="1" s="1"/>
  <c r="E20" i="1"/>
  <c r="B21" i="1" s="1"/>
  <c r="C21" i="1" s="1"/>
  <c r="D21" i="1" s="1"/>
  <c r="E21" i="1" l="1"/>
  <c r="B22" i="1" s="1"/>
  <c r="C22" i="1" s="1"/>
  <c r="D22" i="1" l="1"/>
  <c r="E22" i="1" l="1"/>
</calcChain>
</file>

<file path=xl/sharedStrings.xml><?xml version="1.0" encoding="utf-8"?>
<sst xmlns="http://schemas.openxmlformats.org/spreadsheetml/2006/main" count="26" uniqueCount="26">
  <si>
    <t>Période</t>
  </si>
  <si>
    <t>VNC début</t>
  </si>
  <si>
    <t>Annuité</t>
  </si>
  <si>
    <t>VNC fin</t>
  </si>
  <si>
    <t>N</t>
  </si>
  <si>
    <t>N+1</t>
  </si>
  <si>
    <t>N+2</t>
  </si>
  <si>
    <t>N+3</t>
  </si>
  <si>
    <t>N+4</t>
  </si>
  <si>
    <t>N+5</t>
  </si>
  <si>
    <t>Amortis-
sement</t>
  </si>
  <si>
    <t>Valeur d'origine</t>
  </si>
  <si>
    <t xml:space="preserve">Durée de vie </t>
  </si>
  <si>
    <t>€</t>
  </si>
  <si>
    <t>ans</t>
  </si>
  <si>
    <t>mois d'acquisition</t>
  </si>
  <si>
    <t>Jour d'acquisition</t>
  </si>
  <si>
    <t>Nombre de jours</t>
  </si>
  <si>
    <t>Annuité normale</t>
  </si>
  <si>
    <t>Première annuité</t>
  </si>
  <si>
    <t>N+6</t>
  </si>
  <si>
    <t>N+7</t>
  </si>
  <si>
    <t>N+8</t>
  </si>
  <si>
    <t>N+9</t>
  </si>
  <si>
    <t>N+10</t>
  </si>
  <si>
    <t>Dernière annuité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</si>
</sst>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20" sqref="H20"/>
    </sheetView>
  </sheetViews>
  <sheetFormatPr baseColWidth="10" defaultRowHeight="14.4" x14ac:dyDescent="0.3"/>
  <cols>
    <col min="1" max="1" width="21" customWidth="1"/>
  </cols>
  <sheetData>
    <row r="1" spans="1:5" x14ac:dyDescent="0.3">
      <c r="A1" t="s">
        <v>11</v>
      </c>
      <c r="B1">
        <v>5000</v>
      </c>
      <c r="C1" t="s">
        <v>13</v>
      </c>
    </row>
    <row r="2" spans="1:5" x14ac:dyDescent="0.3">
      <c r="A2" t="s">
        <v>12</v>
      </c>
      <c r="B2">
        <v>5</v>
      </c>
      <c r="C2" t="s">
        <v>14</v>
      </c>
    </row>
    <row r="3" spans="1:5" x14ac:dyDescent="0.3">
      <c r="A3" t="s">
        <v>15</v>
      </c>
      <c r="B3">
        <v>10</v>
      </c>
    </row>
    <row r="4" spans="1:5" x14ac:dyDescent="0.3">
      <c r="A4" t="s">
        <v>16</v>
      </c>
      <c r="B4">
        <v>18</v>
      </c>
    </row>
    <row r="6" spans="1:5" x14ac:dyDescent="0.3">
      <c r="A6" t="s">
        <v>17</v>
      </c>
      <c r="B6">
        <f>(30-B4)+(12-B3)*30</f>
        <v>72</v>
      </c>
    </row>
    <row r="7" spans="1:5" x14ac:dyDescent="0.3">
      <c r="A7" t="s">
        <v>18</v>
      </c>
      <c r="B7">
        <f>B1/B2</f>
        <v>1000</v>
      </c>
    </row>
    <row r="8" spans="1:5" x14ac:dyDescent="0.3">
      <c r="A8" t="s">
        <v>19</v>
      </c>
      <c r="B8">
        <f>B7*B6/360</f>
        <v>200</v>
      </c>
    </row>
    <row r="9" spans="1:5" x14ac:dyDescent="0.3">
      <c r="A9" t="s">
        <v>25</v>
      </c>
      <c r="B9">
        <f>B7-B8</f>
        <v>800</v>
      </c>
    </row>
    <row r="11" spans="1:5" ht="27.6" x14ac:dyDescent="0.3">
      <c r="A11" s="1" t="s">
        <v>0</v>
      </c>
      <c r="B11" s="1" t="s">
        <v>1</v>
      </c>
      <c r="C11" s="1" t="s">
        <v>2</v>
      </c>
      <c r="D11" s="1" t="s">
        <v>10</v>
      </c>
      <c r="E11" s="1" t="s">
        <v>3</v>
      </c>
    </row>
    <row r="12" spans="1:5" x14ac:dyDescent="0.3">
      <c r="A12" s="2" t="s">
        <v>4</v>
      </c>
      <c r="B12" s="3">
        <f>B1</f>
        <v>5000</v>
      </c>
      <c r="C12" s="3">
        <f>B8</f>
        <v>200</v>
      </c>
      <c r="D12" s="3">
        <f>C12</f>
        <v>200</v>
      </c>
      <c r="E12" s="3">
        <f>B12-C12</f>
        <v>4800</v>
      </c>
    </row>
    <row r="13" spans="1:5" x14ac:dyDescent="0.3">
      <c r="A13" s="2" t="s">
        <v>5</v>
      </c>
      <c r="B13" s="3">
        <f>E12</f>
        <v>4800</v>
      </c>
      <c r="C13" s="3">
        <f>IF($B$7&lt;B13,$B$7,B13)</f>
        <v>1000</v>
      </c>
      <c r="D13" s="3">
        <f t="shared" ref="D13:D22" si="0">C13</f>
        <v>1000</v>
      </c>
      <c r="E13" s="3">
        <f t="shared" ref="E13:E22" si="1">B13-C13</f>
        <v>3800</v>
      </c>
    </row>
    <row r="14" spans="1:5" x14ac:dyDescent="0.3">
      <c r="A14" s="2" t="s">
        <v>6</v>
      </c>
      <c r="B14" s="3">
        <f t="shared" ref="B14:B22" si="2">E13</f>
        <v>3800</v>
      </c>
      <c r="C14" s="3">
        <f t="shared" ref="C14:C22" si="3">IF($B$7&lt;B14,$B$7,B14)</f>
        <v>1000</v>
      </c>
      <c r="D14" s="3">
        <f t="shared" si="0"/>
        <v>1000</v>
      </c>
      <c r="E14" s="3">
        <f t="shared" si="1"/>
        <v>2800</v>
      </c>
    </row>
    <row r="15" spans="1:5" x14ac:dyDescent="0.3">
      <c r="A15" s="2" t="s">
        <v>7</v>
      </c>
      <c r="B15" s="3">
        <f t="shared" si="2"/>
        <v>2800</v>
      </c>
      <c r="C15" s="3">
        <f t="shared" si="3"/>
        <v>1000</v>
      </c>
      <c r="D15" s="3">
        <f t="shared" si="0"/>
        <v>1000</v>
      </c>
      <c r="E15" s="3">
        <f t="shared" si="1"/>
        <v>1800</v>
      </c>
    </row>
    <row r="16" spans="1:5" x14ac:dyDescent="0.3">
      <c r="A16" s="2" t="s">
        <v>8</v>
      </c>
      <c r="B16" s="3">
        <f t="shared" si="2"/>
        <v>1800</v>
      </c>
      <c r="C16" s="3">
        <f t="shared" si="3"/>
        <v>1000</v>
      </c>
      <c r="D16" s="3">
        <f t="shared" si="0"/>
        <v>1000</v>
      </c>
      <c r="E16" s="3">
        <f t="shared" si="1"/>
        <v>800</v>
      </c>
    </row>
    <row r="17" spans="1:5" x14ac:dyDescent="0.3">
      <c r="A17" s="2" t="s">
        <v>9</v>
      </c>
      <c r="B17" s="3">
        <f t="shared" si="2"/>
        <v>800</v>
      </c>
      <c r="C17" s="3">
        <f t="shared" si="3"/>
        <v>800</v>
      </c>
      <c r="D17" s="3">
        <f t="shared" si="0"/>
        <v>800</v>
      </c>
      <c r="E17" s="3">
        <f t="shared" si="1"/>
        <v>0</v>
      </c>
    </row>
    <row r="18" spans="1:5" x14ac:dyDescent="0.3">
      <c r="A18" s="2" t="s">
        <v>20</v>
      </c>
      <c r="B18" s="3">
        <f t="shared" si="2"/>
        <v>0</v>
      </c>
      <c r="C18" s="3">
        <f t="shared" si="3"/>
        <v>0</v>
      </c>
      <c r="D18" s="3">
        <f t="shared" si="0"/>
        <v>0</v>
      </c>
      <c r="E18" s="3">
        <f t="shared" si="1"/>
        <v>0</v>
      </c>
    </row>
    <row r="19" spans="1:5" x14ac:dyDescent="0.3">
      <c r="A19" s="2" t="s">
        <v>21</v>
      </c>
      <c r="B19" s="3">
        <f t="shared" si="2"/>
        <v>0</v>
      </c>
      <c r="C19" s="3">
        <f t="shared" si="3"/>
        <v>0</v>
      </c>
      <c r="D19" s="3">
        <f t="shared" si="0"/>
        <v>0</v>
      </c>
      <c r="E19" s="3">
        <f t="shared" si="1"/>
        <v>0</v>
      </c>
    </row>
    <row r="20" spans="1:5" x14ac:dyDescent="0.3">
      <c r="A20" s="2" t="s">
        <v>22</v>
      </c>
      <c r="B20" s="3">
        <f t="shared" si="2"/>
        <v>0</v>
      </c>
      <c r="C20" s="3">
        <f t="shared" si="3"/>
        <v>0</v>
      </c>
      <c r="D20" s="3">
        <f t="shared" si="0"/>
        <v>0</v>
      </c>
      <c r="E20" s="3">
        <f t="shared" si="1"/>
        <v>0</v>
      </c>
    </row>
    <row r="21" spans="1:5" x14ac:dyDescent="0.3">
      <c r="A21" s="2" t="s">
        <v>23</v>
      </c>
      <c r="B21" s="3">
        <f t="shared" si="2"/>
        <v>0</v>
      </c>
      <c r="C21" s="3">
        <f t="shared" si="3"/>
        <v>0</v>
      </c>
      <c r="D21" s="3">
        <f t="shared" si="0"/>
        <v>0</v>
      </c>
      <c r="E21" s="3">
        <f t="shared" si="1"/>
        <v>0</v>
      </c>
    </row>
    <row r="22" spans="1:5" x14ac:dyDescent="0.3">
      <c r="A22" s="2" t="s">
        <v>24</v>
      </c>
      <c r="B22" s="3">
        <f t="shared" si="2"/>
        <v>0</v>
      </c>
      <c r="C22" s="3">
        <f t="shared" si="3"/>
        <v>0</v>
      </c>
      <c r="D22" s="3">
        <f t="shared" si="0"/>
        <v>0</v>
      </c>
      <c r="E22" s="3">
        <f t="shared" si="1"/>
        <v>0</v>
      </c>
    </row>
  </sheetData>
  <sortState xmlns:xlrd2="http://schemas.microsoft.com/office/spreadsheetml/2017/richdata2" ref="A22:I26">
    <sortCondition ref="E22:E26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Mission 2 - Question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Camille</cp:lastModifiedBy>
  <dcterms:created xsi:type="dcterms:W3CDTF">2018-09-15T07:22:50Z</dcterms:created>
  <dcterms:modified xsi:type="dcterms:W3CDTF">2021-06-01T14:57:48Z</dcterms:modified>
</cp:coreProperties>
</file>