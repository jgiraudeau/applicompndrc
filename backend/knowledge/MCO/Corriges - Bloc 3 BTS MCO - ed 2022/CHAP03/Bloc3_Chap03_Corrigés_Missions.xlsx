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 activeTab="1"/>
  </bookViews>
  <sheets>
    <sheet name="Q5 - cas CH3" sheetId="5" r:id="rId1"/>
    <sheet name="Q6 - cas CH3" sheetId="6" r:id="rId2"/>
  </sheets>
  <calcPr calcId="162913"/>
</workbook>
</file>

<file path=xl/calcChain.xml><?xml version="1.0" encoding="utf-8"?>
<calcChain xmlns="http://schemas.openxmlformats.org/spreadsheetml/2006/main">
  <c r="D20" i="5" l="1"/>
  <c r="B20" i="5"/>
  <c r="B21" i="5"/>
  <c r="B22" i="5" s="1"/>
  <c r="B23" i="5" s="1"/>
  <c r="C21" i="5" s="1"/>
  <c r="C23" i="5" s="1"/>
  <c r="D21" i="5" s="1"/>
  <c r="C19" i="5"/>
  <c r="D19" i="5"/>
  <c r="E19" i="5"/>
  <c r="B19" i="5"/>
  <c r="G24" i="6"/>
  <c r="F24" i="6"/>
  <c r="C24" i="6"/>
  <c r="B24" i="6"/>
  <c r="C19" i="6"/>
  <c r="D19" i="6"/>
  <c r="D24" i="6" s="1"/>
  <c r="E19" i="6"/>
  <c r="E24" i="6" s="1"/>
  <c r="F19" i="6"/>
  <c r="G19" i="6"/>
  <c r="B19" i="6"/>
  <c r="B21" i="6" s="1"/>
  <c r="B22" i="6" s="1"/>
  <c r="D22" i="5" l="1"/>
  <c r="D23" i="5" s="1"/>
  <c r="E21" i="5" s="1"/>
  <c r="B23" i="6"/>
  <c r="C20" i="6" s="1"/>
  <c r="C21" i="6" s="1"/>
  <c r="C22" i="6" s="1"/>
  <c r="E23" i="5" l="1"/>
  <c r="C23" i="6"/>
  <c r="D20" i="6" s="1"/>
  <c r="D21" i="6" s="1"/>
  <c r="D22" i="6" l="1"/>
  <c r="D23" i="6" s="1"/>
  <c r="E20" i="6" s="1"/>
  <c r="E21" i="6" s="1"/>
  <c r="E22" i="6" l="1"/>
  <c r="E23" i="6" s="1"/>
  <c r="F20" i="6" s="1"/>
  <c r="F21" i="6" s="1"/>
  <c r="F22" i="6" l="1"/>
  <c r="F23" i="6" s="1"/>
  <c r="G20" i="6" s="1"/>
  <c r="G21" i="6" s="1"/>
  <c r="G22" i="6" l="1"/>
  <c r="G23" i="6" s="1"/>
</calcChain>
</file>

<file path=xl/sharedStrings.xml><?xml version="1.0" encoding="utf-8"?>
<sst xmlns="http://schemas.openxmlformats.org/spreadsheetml/2006/main" count="51" uniqueCount="40">
  <si>
    <t>CHAP 3 ASSURER LA GESTION OPERATIONNELLE DES STOCKS- CAS JARDI MAG</t>
  </si>
  <si>
    <t>le lundi toutes les 2 semaines</t>
  </si>
  <si>
    <t>Stock initial semaine 27 (en cartons):</t>
  </si>
  <si>
    <t>Stock de sécurité (en cartons):</t>
  </si>
  <si>
    <t>N° de semaine</t>
  </si>
  <si>
    <t>Gestion calendaire avec livraisons à dates fixes en quantités variables :</t>
  </si>
  <si>
    <t>Délai de livraison en jours:</t>
  </si>
  <si>
    <t xml:space="preserve">5. Elaborez le cadencier d’approvisionnement de confiture de fraises  pour le mois de juillet (semaines 27 à 30) et expliquez vos calculs </t>
  </si>
  <si>
    <t>Cadencier d'approvisionnement par la méthode de la gestion calendaire (quantités variables à des dates fixes)</t>
  </si>
  <si>
    <t>Prévision des quantités vendues</t>
  </si>
  <si>
    <t>Besoins en début de semaine</t>
  </si>
  <si>
    <t>Stock initial avant livraison</t>
  </si>
  <si>
    <t>Livraison</t>
  </si>
  <si>
    <t>Stock final</t>
  </si>
  <si>
    <t>Dates de commande</t>
  </si>
  <si>
    <t>Mission 2 Elaborer les cadenciers d'approvisionnement</t>
  </si>
  <si>
    <t>6. Présentez le cadencier d’approvisionnement du miel toutes fleurs pour les semaines du 16 juillet au 25 août (Semaines 29 à 34)</t>
  </si>
  <si>
    <t>Stock final sans livraison</t>
  </si>
  <si>
    <t>Ventes par jour</t>
  </si>
  <si>
    <t>Dates de livraison</t>
  </si>
  <si>
    <t>Livraisons en quantités fixes (en nombre de pots):</t>
  </si>
  <si>
    <t>Stock initial semaine 29 (en nombre de pots):</t>
  </si>
  <si>
    <t>Stock de sécurité (en nombre de pots):</t>
  </si>
  <si>
    <t>Jour de livraison:</t>
  </si>
  <si>
    <t>lundi</t>
  </si>
  <si>
    <t>Délai de livraison (en semaines):</t>
  </si>
  <si>
    <t>Prévision des quantités vendues (en pots)</t>
  </si>
  <si>
    <t>lundi S29</t>
  </si>
  <si>
    <t>mardi S31</t>
  </si>
  <si>
    <t>vendredi S32</t>
  </si>
  <si>
    <t>lundi S28</t>
  </si>
  <si>
    <t>mardi S30</t>
  </si>
  <si>
    <t>vendredi S31</t>
  </si>
  <si>
    <t>Jeudi S26</t>
  </si>
  <si>
    <t>Jeudi S28</t>
  </si>
  <si>
    <t>Prévision des quantités vendues en cartons de 6 pots</t>
  </si>
  <si>
    <t>Ressource 5: Prévision des ventes de confiture de fraises</t>
  </si>
  <si>
    <t>Ressource 6: Modalités d'approvisionnement des pots de confiture de fraise</t>
  </si>
  <si>
    <t>Ressource 9: Prévision des ventes hebdomadaires de pots de miel toutes fleurs</t>
  </si>
  <si>
    <t>Ressource 10 : Modalités d’approvisionnement des pots de miel toutes fleurs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</si>
</sst>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Fill="1"/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4" borderId="0" xfId="0" applyFont="1" applyFill="1"/>
    <xf numFmtId="0" fontId="4" fillId="6" borderId="0" xfId="0" applyFont="1" applyFill="1" applyAlignment="1">
      <alignment horizontal="left" vertical="center"/>
    </xf>
    <xf numFmtId="0" fontId="2" fillId="4" borderId="0" xfId="0" applyFont="1" applyFill="1"/>
    <xf numFmtId="0" fontId="2" fillId="0" borderId="1" xfId="0" applyFont="1" applyBorder="1" applyAlignment="1">
      <alignment vertical="center"/>
    </xf>
    <xf numFmtId="0" fontId="5" fillId="4" borderId="0" xfId="0" applyFont="1" applyFill="1"/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9" fontId="2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6" borderId="0" xfId="0" applyFont="1" applyFill="1"/>
    <xf numFmtId="0" fontId="2" fillId="3" borderId="0" xfId="0" applyFont="1" applyFill="1"/>
    <xf numFmtId="0" fontId="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5" borderId="0" xfId="0" applyFont="1" applyFill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CCFF"/>
      <color rgb="FF00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A11" sqref="A11:E11"/>
    </sheetView>
  </sheetViews>
  <sheetFormatPr baseColWidth="10" defaultRowHeight="15.75" x14ac:dyDescent="0.25"/>
  <cols>
    <col min="1" max="1" width="38.85546875" style="3" customWidth="1"/>
    <col min="2" max="6" width="10.28515625" style="3" customWidth="1"/>
    <col min="7" max="16384" width="11.42578125" style="3"/>
  </cols>
  <sheetData>
    <row r="1" spans="1:10" x14ac:dyDescent="0.25">
      <c r="A1" s="7" t="s">
        <v>0</v>
      </c>
      <c r="B1" s="7"/>
      <c r="C1" s="7"/>
      <c r="D1" s="22"/>
      <c r="E1" s="22"/>
    </row>
    <row r="2" spans="1:10" x14ac:dyDescent="0.25">
      <c r="A2" s="6" t="s">
        <v>15</v>
      </c>
      <c r="B2" s="2"/>
      <c r="C2" s="2"/>
    </row>
    <row r="3" spans="1:10" x14ac:dyDescent="0.25">
      <c r="A3" s="17"/>
      <c r="B3" s="18"/>
      <c r="C3" s="18"/>
      <c r="D3" s="18"/>
    </row>
    <row r="4" spans="1:10" x14ac:dyDescent="0.25">
      <c r="A4" s="14" t="s">
        <v>7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15.75" customHeight="1" x14ac:dyDescent="0.25">
      <c r="C5" s="5"/>
    </row>
    <row r="6" spans="1:10" x14ac:dyDescent="0.25">
      <c r="A6" s="11" t="s">
        <v>36</v>
      </c>
      <c r="B6" s="21"/>
      <c r="C6" s="21"/>
      <c r="D6" s="5"/>
    </row>
    <row r="7" spans="1:10" x14ac:dyDescent="0.25">
      <c r="A7" s="8" t="s">
        <v>4</v>
      </c>
      <c r="B7" s="20">
        <v>27</v>
      </c>
      <c r="C7" s="20">
        <v>28</v>
      </c>
      <c r="D7" s="20">
        <v>29</v>
      </c>
      <c r="E7" s="20">
        <v>30</v>
      </c>
      <c r="F7" s="20">
        <v>31</v>
      </c>
    </row>
    <row r="8" spans="1:10" ht="31.5" x14ac:dyDescent="0.25">
      <c r="A8" s="8" t="s">
        <v>35</v>
      </c>
      <c r="B8" s="20">
        <v>15</v>
      </c>
      <c r="C8" s="20">
        <v>12</v>
      </c>
      <c r="D8" s="20">
        <v>11</v>
      </c>
      <c r="E8" s="20">
        <v>24</v>
      </c>
      <c r="F8" s="20">
        <v>20</v>
      </c>
    </row>
    <row r="11" spans="1:10" x14ac:dyDescent="0.25">
      <c r="A11" s="11" t="s">
        <v>37</v>
      </c>
      <c r="B11" s="21"/>
      <c r="C11" s="21"/>
      <c r="D11" s="21"/>
      <c r="E11" s="21"/>
      <c r="F11" s="5"/>
    </row>
    <row r="12" spans="1:10" ht="63" x14ac:dyDescent="0.25">
      <c r="A12" s="9" t="s">
        <v>5</v>
      </c>
      <c r="B12" s="24" t="s">
        <v>1</v>
      </c>
    </row>
    <row r="13" spans="1:10" x14ac:dyDescent="0.25">
      <c r="A13" s="15" t="s">
        <v>2</v>
      </c>
      <c r="B13" s="25">
        <v>6</v>
      </c>
    </row>
    <row r="14" spans="1:10" x14ac:dyDescent="0.25">
      <c r="A14" s="15" t="s">
        <v>3</v>
      </c>
      <c r="B14" s="25">
        <v>5</v>
      </c>
    </row>
    <row r="15" spans="1:10" x14ac:dyDescent="0.25">
      <c r="A15" s="15" t="s">
        <v>6</v>
      </c>
      <c r="B15" s="25">
        <v>2</v>
      </c>
    </row>
    <row r="17" spans="1:8" x14ac:dyDescent="0.25">
      <c r="A17" s="10" t="s">
        <v>8</v>
      </c>
      <c r="B17" s="12"/>
      <c r="C17" s="12"/>
      <c r="D17" s="12"/>
      <c r="E17" s="12"/>
      <c r="F17" s="12"/>
      <c r="G17" s="12"/>
      <c r="H17" s="12"/>
    </row>
    <row r="18" spans="1:8" ht="21" customHeight="1" x14ac:dyDescent="0.25">
      <c r="A18" s="19" t="s">
        <v>4</v>
      </c>
      <c r="B18" s="26">
        <v>27</v>
      </c>
      <c r="C18" s="26">
        <v>28</v>
      </c>
      <c r="D18" s="26">
        <v>29</v>
      </c>
      <c r="E18" s="26">
        <v>30</v>
      </c>
    </row>
    <row r="19" spans="1:8" ht="21" customHeight="1" x14ac:dyDescent="0.25">
      <c r="A19" s="19" t="s">
        <v>9</v>
      </c>
      <c r="B19" s="1">
        <f>B8</f>
        <v>15</v>
      </c>
      <c r="C19" s="1">
        <f t="shared" ref="C19:E19" si="0">C8</f>
        <v>12</v>
      </c>
      <c r="D19" s="1">
        <f t="shared" si="0"/>
        <v>11</v>
      </c>
      <c r="E19" s="1">
        <f t="shared" si="0"/>
        <v>24</v>
      </c>
    </row>
    <row r="20" spans="1:8" ht="21" customHeight="1" x14ac:dyDescent="0.25">
      <c r="A20" s="27" t="s">
        <v>10</v>
      </c>
      <c r="B20" s="1">
        <f>B8+C8+$B$14</f>
        <v>32</v>
      </c>
      <c r="C20" s="1"/>
      <c r="D20" s="1">
        <f>D8+E8+$B$14</f>
        <v>40</v>
      </c>
      <c r="E20" s="1"/>
    </row>
    <row r="21" spans="1:8" ht="21" customHeight="1" x14ac:dyDescent="0.25">
      <c r="A21" s="19" t="s">
        <v>11</v>
      </c>
      <c r="B21" s="1">
        <f>B13</f>
        <v>6</v>
      </c>
      <c r="C21" s="1">
        <f>B23</f>
        <v>17</v>
      </c>
      <c r="D21" s="1">
        <f t="shared" ref="D21:E21" si="1">C23</f>
        <v>5</v>
      </c>
      <c r="E21" s="1">
        <f t="shared" si="1"/>
        <v>29</v>
      </c>
    </row>
    <row r="22" spans="1:8" ht="21" customHeight="1" x14ac:dyDescent="0.25">
      <c r="A22" s="19" t="s">
        <v>12</v>
      </c>
      <c r="B22" s="1">
        <f>B20-B21</f>
        <v>26</v>
      </c>
      <c r="C22" s="1"/>
      <c r="D22" s="1">
        <f t="shared" ref="D22" si="2">D20-D21</f>
        <v>35</v>
      </c>
      <c r="E22" s="1"/>
    </row>
    <row r="23" spans="1:8" ht="21" customHeight="1" x14ac:dyDescent="0.25">
      <c r="A23" s="19" t="s">
        <v>13</v>
      </c>
      <c r="B23" s="1">
        <f>B21+B22-B19</f>
        <v>17</v>
      </c>
      <c r="C23" s="1">
        <f t="shared" ref="C23:E23" si="3">C21+C22-C19</f>
        <v>5</v>
      </c>
      <c r="D23" s="1">
        <f t="shared" si="3"/>
        <v>29</v>
      </c>
      <c r="E23" s="1">
        <f t="shared" si="3"/>
        <v>5</v>
      </c>
    </row>
    <row r="24" spans="1:8" ht="21" customHeight="1" x14ac:dyDescent="0.25">
      <c r="A24" s="19" t="s">
        <v>14</v>
      </c>
      <c r="B24" s="23" t="s">
        <v>33</v>
      </c>
      <c r="C24" s="36"/>
      <c r="D24" s="23" t="s">
        <v>34</v>
      </c>
      <c r="E24" s="36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9" sqref="H9"/>
    </sheetView>
  </sheetViews>
  <sheetFormatPr baseColWidth="10" defaultRowHeight="15.75" x14ac:dyDescent="0.25"/>
  <cols>
    <col min="1" max="1" width="40.42578125" style="3" customWidth="1"/>
    <col min="2" max="7" width="13.7109375" style="3" customWidth="1"/>
    <col min="8" max="16384" width="11.42578125" style="3"/>
  </cols>
  <sheetData>
    <row r="1" spans="1:8" x14ac:dyDescent="0.25">
      <c r="A1" s="7" t="s">
        <v>0</v>
      </c>
      <c r="B1" s="7"/>
      <c r="C1" s="7"/>
      <c r="D1" s="22"/>
      <c r="E1" s="22"/>
    </row>
    <row r="2" spans="1:8" x14ac:dyDescent="0.25">
      <c r="A2" s="6" t="s">
        <v>15</v>
      </c>
      <c r="B2" s="2"/>
      <c r="C2" s="2"/>
    </row>
    <row r="3" spans="1:8" x14ac:dyDescent="0.25">
      <c r="A3" s="17"/>
      <c r="B3" s="18"/>
      <c r="C3" s="18"/>
      <c r="D3" s="18"/>
    </row>
    <row r="4" spans="1:8" x14ac:dyDescent="0.25">
      <c r="A4" s="14" t="s">
        <v>16</v>
      </c>
      <c r="B4" s="12"/>
      <c r="C4" s="12"/>
      <c r="D4" s="12"/>
      <c r="E4" s="12"/>
      <c r="F4" s="12"/>
      <c r="G4" s="12"/>
      <c r="H4" s="12"/>
    </row>
    <row r="5" spans="1:8" ht="15.75" customHeight="1" x14ac:dyDescent="0.25">
      <c r="C5" s="5"/>
    </row>
    <row r="6" spans="1:8" x14ac:dyDescent="0.25">
      <c r="A6" s="11" t="s">
        <v>38</v>
      </c>
      <c r="B6" s="21"/>
      <c r="C6" s="21"/>
      <c r="D6" s="21"/>
    </row>
    <row r="7" spans="1:8" x14ac:dyDescent="0.25">
      <c r="A7" s="13" t="s">
        <v>4</v>
      </c>
      <c r="B7" s="1">
        <v>29</v>
      </c>
      <c r="C7" s="1">
        <v>30</v>
      </c>
      <c r="D7" s="1">
        <v>31</v>
      </c>
      <c r="E7" s="1">
        <v>32</v>
      </c>
      <c r="F7" s="1">
        <v>33</v>
      </c>
      <c r="G7" s="1">
        <v>34</v>
      </c>
    </row>
    <row r="8" spans="1:8" x14ac:dyDescent="0.25">
      <c r="A8" s="13" t="s">
        <v>26</v>
      </c>
      <c r="B8" s="1">
        <v>48</v>
      </c>
      <c r="C8" s="1">
        <v>60</v>
      </c>
      <c r="D8" s="1">
        <v>66</v>
      </c>
      <c r="E8" s="1">
        <v>84</v>
      </c>
      <c r="F8" s="1">
        <v>48</v>
      </c>
      <c r="G8" s="1">
        <v>36</v>
      </c>
    </row>
    <row r="10" spans="1:8" x14ac:dyDescent="0.25">
      <c r="A10" s="11" t="s">
        <v>39</v>
      </c>
      <c r="B10" s="21"/>
      <c r="C10" s="21"/>
      <c r="D10" s="21"/>
      <c r="E10" s="5"/>
      <c r="F10" s="5"/>
    </row>
    <row r="11" spans="1:8" s="5" customFormat="1" ht="31.5" x14ac:dyDescent="0.25">
      <c r="A11" s="9" t="s">
        <v>20</v>
      </c>
      <c r="B11" s="16">
        <v>120</v>
      </c>
    </row>
    <row r="12" spans="1:8" s="5" customFormat="1" ht="31.5" x14ac:dyDescent="0.25">
      <c r="A12" s="15" t="s">
        <v>21</v>
      </c>
      <c r="B12" s="28">
        <v>24</v>
      </c>
    </row>
    <row r="13" spans="1:8" s="5" customFormat="1" x14ac:dyDescent="0.25">
      <c r="A13" s="29" t="s">
        <v>22</v>
      </c>
      <c r="B13" s="28">
        <v>12</v>
      </c>
    </row>
    <row r="14" spans="1:8" x14ac:dyDescent="0.25">
      <c r="A14" s="29" t="s">
        <v>23</v>
      </c>
      <c r="B14" s="28" t="s">
        <v>24</v>
      </c>
    </row>
    <row r="15" spans="1:8" x14ac:dyDescent="0.25">
      <c r="A15" s="29" t="s">
        <v>25</v>
      </c>
      <c r="B15" s="28">
        <v>1</v>
      </c>
    </row>
    <row r="17" spans="1:8" x14ac:dyDescent="0.25">
      <c r="A17" s="30" t="s">
        <v>8</v>
      </c>
      <c r="B17" s="30"/>
      <c r="C17" s="30"/>
      <c r="D17" s="30"/>
      <c r="E17" s="30"/>
      <c r="F17" s="30"/>
      <c r="G17" s="30"/>
      <c r="H17" s="12"/>
    </row>
    <row r="18" spans="1:8" ht="25.5" customHeight="1" x14ac:dyDescent="0.25">
      <c r="A18" s="31" t="s">
        <v>4</v>
      </c>
      <c r="B18" s="32">
        <v>29</v>
      </c>
      <c r="C18" s="32">
        <v>30</v>
      </c>
      <c r="D18" s="32">
        <v>31</v>
      </c>
      <c r="E18" s="32">
        <v>32</v>
      </c>
      <c r="F18" s="32">
        <v>33</v>
      </c>
      <c r="G18" s="32">
        <v>34</v>
      </c>
    </row>
    <row r="19" spans="1:8" ht="25.5" customHeight="1" x14ac:dyDescent="0.25">
      <c r="A19" s="33" t="s">
        <v>9</v>
      </c>
      <c r="B19" s="28">
        <f>B8</f>
        <v>48</v>
      </c>
      <c r="C19" s="28">
        <f t="shared" ref="C19:G19" si="0">C8</f>
        <v>60</v>
      </c>
      <c r="D19" s="28">
        <f t="shared" si="0"/>
        <v>66</v>
      </c>
      <c r="E19" s="28">
        <f t="shared" si="0"/>
        <v>84</v>
      </c>
      <c r="F19" s="28">
        <f t="shared" si="0"/>
        <v>48</v>
      </c>
      <c r="G19" s="28">
        <f t="shared" si="0"/>
        <v>36</v>
      </c>
    </row>
    <row r="20" spans="1:8" ht="25.5" customHeight="1" x14ac:dyDescent="0.25">
      <c r="A20" s="33" t="s">
        <v>11</v>
      </c>
      <c r="B20" s="4">
        <v>24</v>
      </c>
      <c r="C20" s="16">
        <f>B23</f>
        <v>96</v>
      </c>
      <c r="D20" s="16">
        <f t="shared" ref="D20:G20" si="1">C23</f>
        <v>36</v>
      </c>
      <c r="E20" s="16">
        <f t="shared" si="1"/>
        <v>90</v>
      </c>
      <c r="F20" s="16">
        <f t="shared" si="1"/>
        <v>126</v>
      </c>
      <c r="G20" s="16">
        <f t="shared" si="1"/>
        <v>78</v>
      </c>
    </row>
    <row r="21" spans="1:8" ht="25.5" customHeight="1" x14ac:dyDescent="0.25">
      <c r="A21" s="33" t="s">
        <v>17</v>
      </c>
      <c r="B21" s="35">
        <f>B20-B19</f>
        <v>-24</v>
      </c>
      <c r="C21" s="28">
        <f t="shared" ref="C21:G21" si="2">C20-C19</f>
        <v>36</v>
      </c>
      <c r="D21" s="28">
        <f t="shared" si="2"/>
        <v>-30</v>
      </c>
      <c r="E21" s="28">
        <f t="shared" si="2"/>
        <v>6</v>
      </c>
      <c r="F21" s="28">
        <f t="shared" si="2"/>
        <v>78</v>
      </c>
      <c r="G21" s="28">
        <f t="shared" si="2"/>
        <v>42</v>
      </c>
    </row>
    <row r="22" spans="1:8" ht="25.5" customHeight="1" x14ac:dyDescent="0.25">
      <c r="A22" s="33" t="s">
        <v>12</v>
      </c>
      <c r="B22" s="35">
        <f>IF(B21&lt;12,$B$11,0)</f>
        <v>120</v>
      </c>
      <c r="C22" s="35">
        <f t="shared" ref="C22:G22" si="3">IF(C21&lt;12,$B$11,0)</f>
        <v>0</v>
      </c>
      <c r="D22" s="35">
        <f t="shared" si="3"/>
        <v>120</v>
      </c>
      <c r="E22" s="35">
        <f t="shared" si="3"/>
        <v>120</v>
      </c>
      <c r="F22" s="35">
        <f t="shared" si="3"/>
        <v>0</v>
      </c>
      <c r="G22" s="35">
        <f t="shared" si="3"/>
        <v>0</v>
      </c>
    </row>
    <row r="23" spans="1:8" ht="25.5" customHeight="1" x14ac:dyDescent="0.25">
      <c r="A23" s="33" t="s">
        <v>13</v>
      </c>
      <c r="B23" s="35">
        <f>B20+B22-B19</f>
        <v>96</v>
      </c>
      <c r="C23" s="28">
        <f t="shared" ref="C23:G23" si="4">C20+C22-C19</f>
        <v>36</v>
      </c>
      <c r="D23" s="28">
        <f t="shared" si="4"/>
        <v>90</v>
      </c>
      <c r="E23" s="28">
        <f t="shared" si="4"/>
        <v>126</v>
      </c>
      <c r="F23" s="28">
        <f t="shared" si="4"/>
        <v>78</v>
      </c>
      <c r="G23" s="28">
        <f t="shared" si="4"/>
        <v>42</v>
      </c>
    </row>
    <row r="24" spans="1:8" ht="25.5" customHeight="1" x14ac:dyDescent="0.25">
      <c r="A24" s="33" t="s">
        <v>18</v>
      </c>
      <c r="B24" s="35">
        <f>B19/6</f>
        <v>8</v>
      </c>
      <c r="C24" s="28">
        <f t="shared" ref="C24:G24" si="5">C19/6</f>
        <v>10</v>
      </c>
      <c r="D24" s="28">
        <f t="shared" si="5"/>
        <v>11</v>
      </c>
      <c r="E24" s="28">
        <f t="shared" si="5"/>
        <v>14</v>
      </c>
      <c r="F24" s="28">
        <f t="shared" si="5"/>
        <v>8</v>
      </c>
      <c r="G24" s="28">
        <f t="shared" si="5"/>
        <v>6</v>
      </c>
    </row>
    <row r="25" spans="1:8" ht="25.5" customHeight="1" x14ac:dyDescent="0.25">
      <c r="A25" s="33" t="s">
        <v>19</v>
      </c>
      <c r="B25" s="35" t="s">
        <v>27</v>
      </c>
      <c r="C25" s="28"/>
      <c r="D25" s="28" t="s">
        <v>28</v>
      </c>
      <c r="E25" s="28" t="s">
        <v>29</v>
      </c>
      <c r="F25" s="28"/>
      <c r="G25" s="28"/>
    </row>
    <row r="26" spans="1:8" ht="25.5" customHeight="1" x14ac:dyDescent="0.25">
      <c r="A26" s="33" t="s">
        <v>14</v>
      </c>
      <c r="B26" s="35" t="s">
        <v>30</v>
      </c>
      <c r="C26" s="28"/>
      <c r="D26" s="28" t="s">
        <v>31</v>
      </c>
      <c r="E26" s="28" t="s">
        <v>32</v>
      </c>
      <c r="F26" s="34"/>
      <c r="G26" s="3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Q5 - cas CH3</vt:lpstr>
      <vt:lpstr>Q6 - cas CH3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2021-11-09T17:26:50Z</dcterms:modified>
</cp:coreProperties>
</file>