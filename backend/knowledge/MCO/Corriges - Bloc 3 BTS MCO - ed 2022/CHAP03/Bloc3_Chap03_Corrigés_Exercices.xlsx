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fa\Documents\Foucher 2021\BLOC 3 2021 AVEC CORRECTIONS\CHAPITRES CORRIGES 2021 BLOC 3 PDF\BLOC 3 FICHIERS EXCEL\"/>
    </mc:Choice>
  </mc:AlternateContent>
  <bookViews>
    <workbookView xWindow="960" yWindow="945" windowWidth="16995" windowHeight="6570"/>
  </bookViews>
  <sheets>
    <sheet name="Corrigé Exercice 3-CH3" sheetId="5" r:id="rId1"/>
    <sheet name="Corrigé Exercice 4 - Chap3" sheetId="7" r:id="rId2"/>
    <sheet name="Corrigé Exercice 5 - Chap3" sheetId="8" r:id="rId3"/>
  </sheets>
  <calcPr calcId="162913"/>
</workbook>
</file>

<file path=xl/calcChain.xml><?xml version="1.0" encoding="utf-8"?>
<calcChain xmlns="http://schemas.openxmlformats.org/spreadsheetml/2006/main">
  <c r="D33" i="8" l="1"/>
  <c r="B33" i="8"/>
  <c r="B32" i="8"/>
  <c r="C31" i="8"/>
  <c r="D31" i="8"/>
  <c r="E31" i="8"/>
  <c r="B31" i="8"/>
  <c r="C21" i="8"/>
  <c r="C20" i="8"/>
  <c r="D20" i="8"/>
  <c r="E20" i="8"/>
  <c r="B21" i="8"/>
  <c r="B20" i="8"/>
  <c r="B19" i="8"/>
  <c r="C18" i="8"/>
  <c r="D18" i="8"/>
  <c r="E18" i="8"/>
  <c r="E24" i="8" s="1"/>
  <c r="B18" i="8"/>
  <c r="D24" i="8"/>
  <c r="C24" i="8"/>
  <c r="B24" i="8"/>
  <c r="C22" i="7"/>
  <c r="D22" i="7"/>
  <c r="E22" i="7"/>
  <c r="F22" i="7"/>
  <c r="G22" i="7"/>
  <c r="B22" i="7"/>
  <c r="B18" i="7"/>
  <c r="C17" i="7"/>
  <c r="D17" i="7"/>
  <c r="E17" i="7"/>
  <c r="F17" i="7"/>
  <c r="F19" i="7" s="1"/>
  <c r="G17" i="7"/>
  <c r="G19" i="7" s="1"/>
  <c r="B17" i="7"/>
  <c r="C16" i="7"/>
  <c r="D16" i="7"/>
  <c r="E16" i="7"/>
  <c r="F16" i="7"/>
  <c r="G16" i="7"/>
  <c r="B16" i="7"/>
  <c r="D19" i="7"/>
  <c r="E19" i="7"/>
  <c r="C27" i="5"/>
  <c r="D23" i="5"/>
  <c r="D27" i="5" s="1"/>
  <c r="E23" i="5" s="1"/>
  <c r="E27" i="5" s="1"/>
  <c r="C23" i="5"/>
  <c r="B27" i="5"/>
  <c r="C26" i="5"/>
  <c r="D26" i="5"/>
  <c r="E26" i="5"/>
  <c r="B26" i="5"/>
  <c r="B25" i="5"/>
  <c r="C24" i="5"/>
  <c r="D24" i="5"/>
  <c r="E24" i="5"/>
  <c r="B24" i="5"/>
  <c r="B23" i="5"/>
  <c r="C22" i="5"/>
  <c r="D22" i="5"/>
  <c r="E22" i="5"/>
  <c r="B22" i="5"/>
  <c r="D18" i="5"/>
  <c r="B14" i="5"/>
  <c r="B34" i="8" l="1"/>
  <c r="B35" i="8"/>
  <c r="B36" i="8" s="1"/>
  <c r="C32" i="8" s="1"/>
  <c r="C35" i="8" s="1"/>
  <c r="C36" i="8" s="1"/>
  <c r="D32" i="8" s="1"/>
  <c r="D34" i="8" s="1"/>
  <c r="B23" i="8"/>
  <c r="C19" i="8" s="1"/>
  <c r="B19" i="7"/>
  <c r="B21" i="7" s="1"/>
  <c r="E21" i="7"/>
  <c r="E20" i="7"/>
  <c r="D20" i="7"/>
  <c r="D21" i="7"/>
  <c r="F21" i="7"/>
  <c r="F20" i="7"/>
  <c r="G20" i="7"/>
  <c r="G21" i="7"/>
  <c r="D35" i="8" l="1"/>
  <c r="D36" i="8" s="1"/>
  <c r="E32" i="8" s="1"/>
  <c r="E35" i="8" s="1"/>
  <c r="E36" i="8" s="1"/>
  <c r="C23" i="8"/>
  <c r="D19" i="8" s="1"/>
  <c r="D21" i="8" s="1"/>
  <c r="B22" i="8"/>
  <c r="B20" i="7"/>
  <c r="B23" i="7"/>
  <c r="C18" i="7" s="1"/>
  <c r="C19" i="7" s="1"/>
  <c r="C20" i="7" s="1"/>
  <c r="D23" i="8" l="1"/>
  <c r="E19" i="8" s="1"/>
  <c r="E21" i="8" s="1"/>
  <c r="C22" i="8"/>
  <c r="C21" i="7"/>
  <c r="E23" i="8" l="1"/>
  <c r="D22" i="8"/>
  <c r="E22" i="8" l="1"/>
  <c r="H12" i="7" l="1"/>
</calcChain>
</file>

<file path=xl/comments1.xml><?xml version="1.0" encoding="utf-8"?>
<comments xmlns="http://schemas.openxmlformats.org/spreadsheetml/2006/main">
  <authors>
    <author>Bernard COÏC</author>
  </authors>
  <commentList>
    <comment ref="B17" authorId="0" shapeId="0">
      <text>
        <r>
          <rPr>
            <b/>
            <sz val="9"/>
            <color rgb="FF000000"/>
            <rFont val="Tahoma"/>
            <family val="2"/>
          </rPr>
          <t>Bernard COÏC:</t>
        </r>
        <r>
          <rPr>
            <sz val="9"/>
            <color rgb="FF000000"/>
            <rFont val="Tahoma"/>
            <family val="2"/>
          </rPr>
          <t xml:space="preserve">
Besoins lundi = 400 x 12,5%</t>
        </r>
      </text>
    </comment>
    <comment ref="B19" authorId="0" shapeId="0">
      <text>
        <r>
          <rPr>
            <b/>
            <sz val="9"/>
            <color rgb="FF000000"/>
            <rFont val="Tahoma"/>
            <family val="2"/>
          </rPr>
          <t>Bernard COÏC:</t>
        </r>
        <r>
          <rPr>
            <sz val="9"/>
            <color rgb="FF000000"/>
            <rFont val="Tahoma"/>
            <family val="2"/>
          </rPr>
          <t xml:space="preserve">
 Livraison nécessaire = Besoins – Stock initial
Lundi : le stock initial est supérieur aux besoins:  pas de livraison</t>
        </r>
      </text>
    </comment>
    <comment ref="C19" authorId="0" shapeId="0">
      <text>
        <r>
          <rPr>
            <b/>
            <sz val="9"/>
            <color rgb="FF000000"/>
            <rFont val="Tahoma"/>
            <family val="2"/>
          </rPr>
          <t>Bernard COÏC:</t>
        </r>
        <r>
          <rPr>
            <sz val="9"/>
            <color rgb="FF000000"/>
            <rFont val="Tahoma"/>
            <family val="2"/>
          </rPr>
          <t xml:space="preserve">
Mardi : livraison nécessaire = 49 – 7 = 42.</t>
        </r>
      </text>
    </comment>
    <comment ref="B21" authorId="0" shapeId="0">
      <text>
        <r>
          <rPr>
            <b/>
            <sz val="9"/>
            <color rgb="FF000000"/>
            <rFont val="Tahoma"/>
            <family val="2"/>
          </rPr>
          <t>Bernard COÏC:</t>
        </r>
        <r>
          <rPr>
            <sz val="9"/>
            <color rgb="FF000000"/>
            <rFont val="Tahoma"/>
            <family val="2"/>
          </rPr>
          <t xml:space="preserve">
 Stock final avant casse lundi = Stock initial + Livraison – Ventes prévues = 58 + 0 – 50 = 8</t>
        </r>
      </text>
    </comment>
    <comment ref="B22" authorId="0" shapeId="0">
      <text>
        <r>
          <rPr>
            <b/>
            <sz val="9"/>
            <color rgb="FF000000"/>
            <rFont val="Tahoma"/>
            <family val="2"/>
          </rPr>
          <t>Bernard COÏC:</t>
        </r>
        <r>
          <rPr>
            <sz val="9"/>
            <color rgb="FF000000"/>
            <rFont val="Tahoma"/>
            <family val="2"/>
          </rPr>
          <t xml:space="preserve">
 Casse lundi = 50 x 2 % = 1.</t>
        </r>
      </text>
    </comment>
    <comment ref="B23" authorId="0" shapeId="0">
      <text>
        <r>
          <rPr>
            <b/>
            <sz val="9"/>
            <color rgb="FF000000"/>
            <rFont val="Tahoma"/>
            <family val="2"/>
          </rPr>
          <t>Bernard COÏC:</t>
        </r>
        <r>
          <rPr>
            <sz val="9"/>
            <color rgb="FF000000"/>
            <rFont val="Tahoma"/>
            <family val="2"/>
          </rPr>
          <t xml:space="preserve">
Stock final après casse = 8 - 1</t>
        </r>
      </text>
    </comment>
  </commentList>
</comments>
</file>

<file path=xl/comments2.xml><?xml version="1.0" encoding="utf-8"?>
<comments xmlns="http://schemas.openxmlformats.org/spreadsheetml/2006/main">
  <authors>
    <author>Bernard COÏC</author>
  </authors>
  <commentList>
    <comment ref="B20" authorId="0" shapeId="0">
      <text>
        <r>
          <rPr>
            <b/>
            <sz val="9"/>
            <color rgb="FF000000"/>
            <rFont val="Tahoma"/>
            <family val="2"/>
          </rPr>
          <t>Bernard COÏC:</t>
        </r>
        <r>
          <rPr>
            <sz val="9"/>
            <color rgb="FF000000"/>
            <rFont val="Tahoma"/>
            <family val="2"/>
          </rPr>
          <t xml:space="preserve">
Besoin en début de semaine 10 = Ventes prévues + Stock de sécurité
Besoin Semaine 10 = 12 + 5 = 17 unités
</t>
        </r>
      </text>
    </comment>
    <comment ref="B21" authorId="0" shapeId="0">
      <text>
        <r>
          <rPr>
            <b/>
            <sz val="9"/>
            <color rgb="FF000000"/>
            <rFont val="Tahoma"/>
            <family val="2"/>
          </rPr>
          <t>Bernard COÏC:</t>
        </r>
        <r>
          <rPr>
            <sz val="9"/>
            <color rgb="FF000000"/>
            <rFont val="Tahoma"/>
            <family val="2"/>
          </rPr>
          <t xml:space="preserve">
La livraison est nécessaire si le stock initial avant livraison est inférieur au besoin. C'est le cas en S10</t>
        </r>
      </text>
    </comment>
    <comment ref="B22" authorId="0" shapeId="0">
      <text>
        <r>
          <rPr>
            <b/>
            <sz val="9"/>
            <color rgb="FF000000"/>
            <rFont val="Tahoma"/>
            <family val="2"/>
          </rPr>
          <t>Bernard COÏC:</t>
        </r>
        <r>
          <rPr>
            <sz val="9"/>
            <color rgb="FF000000"/>
            <rFont val="Tahoma"/>
            <family val="2"/>
          </rPr>
          <t xml:space="preserve">
SI après livraison S10 = 8+24=32</t>
        </r>
      </text>
    </comment>
    <comment ref="B23" authorId="0" shapeId="0">
      <text>
        <r>
          <rPr>
            <b/>
            <sz val="9"/>
            <color rgb="FF000000"/>
            <rFont val="Tahoma"/>
            <family val="2"/>
          </rPr>
          <t>Bernard COÏC:</t>
        </r>
        <r>
          <rPr>
            <sz val="9"/>
            <color rgb="FF000000"/>
            <rFont val="Tahoma"/>
            <family val="2"/>
          </rPr>
          <t xml:space="preserve">
Stock final = Stock initial + Livraisons – Ventes
Stock final S10 = 8 + 24 – 12 = 20
</t>
        </r>
      </text>
    </comment>
    <comment ref="B24" authorId="0" shapeId="0">
      <text>
        <r>
          <rPr>
            <b/>
            <sz val="9"/>
            <color rgb="FF000000"/>
            <rFont val="Tahoma"/>
            <family val="2"/>
          </rPr>
          <t>Bernard COÏC:</t>
        </r>
        <r>
          <rPr>
            <sz val="9"/>
            <color rgb="FF000000"/>
            <rFont val="Tahoma"/>
            <family val="2"/>
          </rPr>
          <t xml:space="preserve">
semaine10 : ventes moyennes par jour = 12/6 = 2</t>
        </r>
      </text>
    </comment>
    <comment ref="B25" authorId="0" shapeId="0">
      <text>
        <r>
          <rPr>
            <b/>
            <sz val="9"/>
            <color rgb="FF000000"/>
            <rFont val="Tahoma"/>
            <family val="2"/>
          </rPr>
          <t>Bernard COÏC:</t>
        </r>
        <r>
          <rPr>
            <sz val="9"/>
            <color rgb="FF000000"/>
            <rFont val="Tahoma"/>
            <family val="2"/>
          </rPr>
          <t xml:space="preserve">
Il reste 8 articles en stock initial. Si on ne veut pas descendre sous le stock de sécurité, il reste 8 – 5 = 3 articles pour faire face aux ventes. Il faut donc être livré dès le mardi matin au plus tard.</t>
        </r>
      </text>
    </comment>
    <comment ref="B26" authorId="0" shapeId="0">
      <text>
        <r>
          <rPr>
            <b/>
            <sz val="9"/>
            <color rgb="FF000000"/>
            <rFont val="Tahoma"/>
            <family val="2"/>
          </rPr>
          <t>Bernard COÏC:</t>
        </r>
        <r>
          <rPr>
            <sz val="9"/>
            <color rgb="FF000000"/>
            <rFont val="Tahoma"/>
            <family val="2"/>
          </rPr>
          <t xml:space="preserve">
le jour de commande tient compte du délai de livraison d'une semaine</t>
        </r>
      </text>
    </comment>
    <comment ref="B33" authorId="0" shapeId="0">
      <text>
        <r>
          <rPr>
            <b/>
            <sz val="9"/>
            <color rgb="FF000000"/>
            <rFont val="Tahoma"/>
            <family val="2"/>
          </rPr>
          <t>Bernard COÏC:</t>
        </r>
        <r>
          <rPr>
            <sz val="9"/>
            <color rgb="FF000000"/>
            <rFont val="Tahoma"/>
            <family val="2"/>
          </rPr>
          <t xml:space="preserve">
Besoin en début de semaine = Ventes prévues pour les 2 semaines + Stock de sécurité
Besoin semaine 10 = 12 + 18 + 5 = 35 unités.</t>
        </r>
      </text>
    </comment>
    <comment ref="B34" authorId="0" shapeId="0">
      <text>
        <r>
          <rPr>
            <b/>
            <sz val="9"/>
            <color rgb="FF000000"/>
            <rFont val="Tahoma"/>
            <family val="2"/>
          </rPr>
          <t>Bernard COÏC:</t>
        </r>
        <r>
          <rPr>
            <sz val="9"/>
            <color rgb="FF000000"/>
            <rFont val="Tahoma"/>
            <family val="2"/>
          </rPr>
          <t xml:space="preserve">
Le SI est &lt; au besoin: il faut donc une livraison semaine 10.
Livraison nécessaire = Besoin en début de semaine – Stock initial
Livraison semaine 10 = 35 – 8 = 27 unités.
</t>
        </r>
      </text>
    </comment>
    <comment ref="B36" authorId="0" shapeId="0">
      <text>
        <r>
          <rPr>
            <b/>
            <sz val="9"/>
            <color rgb="FF000000"/>
            <rFont val="Tahoma"/>
            <family val="2"/>
          </rPr>
          <t>Bernard COÏC:</t>
        </r>
        <r>
          <rPr>
            <sz val="9"/>
            <color rgb="FF000000"/>
            <rFont val="Tahoma"/>
            <family val="2"/>
          </rPr>
          <t xml:space="preserve">
Stock final = Stock initial + Livraisons – Ventes
Stock final S10 = 8 + 27 – 12 = 23 unités
</t>
        </r>
      </text>
    </comment>
  </commentList>
</comments>
</file>

<file path=xl/sharedStrings.xml><?xml version="1.0" encoding="utf-8"?>
<sst xmlns="http://schemas.openxmlformats.org/spreadsheetml/2006/main" count="95" uniqueCount="70">
  <si>
    <t>Livraison</t>
  </si>
  <si>
    <t>Stock final</t>
  </si>
  <si>
    <t>Stock final sans livraison</t>
  </si>
  <si>
    <t>CHAP 3 ASSURER LA GESTION OPERATIONNELLE DES STOCKS</t>
  </si>
  <si>
    <t>stock initial (nombre de boîtes):</t>
  </si>
  <si>
    <t>Prévision des ventes par semaine(nombre de boîtes) :</t>
  </si>
  <si>
    <t>Livraisons par cartons. Nombre de boîtes par carton :</t>
  </si>
  <si>
    <t>Stock de sécurité:</t>
  </si>
  <si>
    <t>Semaines</t>
  </si>
  <si>
    <t>Besoin en fin de semaine</t>
  </si>
  <si>
    <t>Stock initial</t>
  </si>
  <si>
    <t>Ventes prévues</t>
  </si>
  <si>
    <t>Livraison du jeudi en nombre de boîtes</t>
  </si>
  <si>
    <t>3. Présentez un cadencier d’approvisionnement pour ce produit, sur une durée de 4 semaines.</t>
  </si>
  <si>
    <t>Exercice 3</t>
  </si>
  <si>
    <t>stock initial (en nombre de barquettes):</t>
  </si>
  <si>
    <t>Prévision des ventes pour la semaine(en nombre de barquettes) :</t>
  </si>
  <si>
    <t>Taux de casse par jour:</t>
  </si>
  <si>
    <t>Lundi</t>
  </si>
  <si>
    <t>Mardi</t>
  </si>
  <si>
    <t>Mercredi</t>
  </si>
  <si>
    <t>Jeudi</t>
  </si>
  <si>
    <t>Vendredi</t>
  </si>
  <si>
    <t>Samedi</t>
  </si>
  <si>
    <t>total</t>
  </si>
  <si>
    <t>Jours</t>
  </si>
  <si>
    <t>Besoins</t>
  </si>
  <si>
    <r>
      <t xml:space="preserve">Livraison nécessaire </t>
    </r>
    <r>
      <rPr>
        <sz val="12"/>
        <color theme="1"/>
        <rFont val="Calibri"/>
        <family val="2"/>
        <scheme val="minor"/>
      </rPr>
      <t></t>
    </r>
  </si>
  <si>
    <t>Stock initial avec livraison</t>
  </si>
  <si>
    <r>
      <t xml:space="preserve">Stock final avant casse </t>
    </r>
    <r>
      <rPr>
        <sz val="12"/>
        <color theme="1"/>
        <rFont val="Calibri"/>
        <family val="2"/>
        <scheme val="minor"/>
      </rPr>
      <t></t>
    </r>
  </si>
  <si>
    <r>
      <t xml:space="preserve">Casse </t>
    </r>
    <r>
      <rPr>
        <sz val="12"/>
        <color rgb="FF000000"/>
        <rFont val="Calibri"/>
        <family val="2"/>
        <scheme val="minor"/>
      </rPr>
      <t></t>
    </r>
  </si>
  <si>
    <t>Stock final après casse</t>
  </si>
  <si>
    <t>Exercice 4</t>
  </si>
  <si>
    <t>répartition des ventes de barquettes sur la semaine</t>
  </si>
  <si>
    <t>Présentez le programme d’approvisionnement des barquettes de pommes pour la semaine 44</t>
  </si>
  <si>
    <t>stock initial (nombre d'articles):</t>
  </si>
  <si>
    <t>Livraisons</t>
  </si>
  <si>
    <t>le lundi toutes les deux semaines, en quantités variables</t>
  </si>
  <si>
    <t>Délai de livraison en semaines :</t>
  </si>
  <si>
    <t>Stock de sécurité  (nombre d'articles):</t>
  </si>
  <si>
    <t>Besoin début de semaine</t>
  </si>
  <si>
    <t>Stock initial après livraison</t>
  </si>
  <si>
    <t>Ventes moyennes par jour</t>
  </si>
  <si>
    <t>Jour de livraison au plus tard</t>
  </si>
  <si>
    <t>Jour de commande</t>
  </si>
  <si>
    <t>Besoin</t>
  </si>
  <si>
    <t>Exercice 5</t>
  </si>
  <si>
    <t>1. Présentez le programme d’approvisionnement des semaines 10 à 13.</t>
  </si>
  <si>
    <t>Ressource 1 : Prévisions des ventes pour les 4 semaines du mois pour la référence.</t>
  </si>
  <si>
    <t>Ressource 2 : Entretien avec le manageur  sur la méthode actuelle d’approvisionnement</t>
  </si>
  <si>
    <t>2. Proposez au chef de rayon un programme d’approvisionnement selon la nouvelle méthode proposée par la centrale d’achat.</t>
  </si>
  <si>
    <t>Semaines 21-22</t>
  </si>
  <si>
    <t>Commande unique semaine 19</t>
  </si>
  <si>
    <t>Augmentation des ventes pendant la promotion</t>
  </si>
  <si>
    <t>Durée de la promotion:</t>
  </si>
  <si>
    <t>Nombre de jours d'ouverture:</t>
  </si>
  <si>
    <t>1. Calculez le niveau de stock de sécurité.</t>
  </si>
  <si>
    <t>Stock de sécurité en jours de ventes:</t>
  </si>
  <si>
    <t>stock de sécurité en quantités =</t>
  </si>
  <si>
    <t>2. Déterminez la quantité qu’il faut posséder en stock en fin de semaine pour éviter la rupture de stock avant la livraison suivante.</t>
  </si>
  <si>
    <t>quantité qu’il faut posséder en stock en fin de semaine</t>
  </si>
  <si>
    <t>mardi</t>
  </si>
  <si>
    <t>samedi</t>
  </si>
  <si>
    <t>mardi semaine 9</t>
  </si>
  <si>
    <t>mardi semaine 10</t>
  </si>
  <si>
    <t>mardi semaine 11</t>
  </si>
  <si>
    <t>Ressource 1: Note de la responsable</t>
  </si>
  <si>
    <t>Ressource 2: Mail du fournisseur</t>
  </si>
  <si>
    <t>Ressource 1: Informations pour le programme d'approvisionnement de l'opération promotionnelle</t>
  </si>
  <si>
    <t>Ressource 2: Prévision des ventes de pommes pour la semaine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</si>
</sst>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C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7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Fill="1"/>
    <xf numFmtId="0" fontId="4" fillId="2" borderId="0" xfId="0" applyFont="1" applyFill="1" applyAlignment="1">
      <alignment horizontal="left" vertical="center"/>
    </xf>
    <xf numFmtId="0" fontId="1" fillId="3" borderId="0" xfId="0" applyFont="1" applyFill="1"/>
    <xf numFmtId="0" fontId="2" fillId="0" borderId="1" xfId="0" applyFont="1" applyBorder="1" applyAlignment="1">
      <alignment vertical="center" wrapText="1"/>
    </xf>
    <xf numFmtId="0" fontId="1" fillId="4" borderId="0" xfId="0" applyFont="1" applyFill="1"/>
    <xf numFmtId="0" fontId="4" fillId="5" borderId="0" xfId="0" applyFont="1" applyFill="1" applyAlignment="1">
      <alignment horizontal="left" vertical="center"/>
    </xf>
    <xf numFmtId="0" fontId="2" fillId="4" borderId="0" xfId="0" applyFont="1" applyFill="1"/>
    <xf numFmtId="0" fontId="2" fillId="0" borderId="1" xfId="0" applyFont="1" applyBorder="1" applyAlignment="1">
      <alignment vertical="center"/>
    </xf>
    <xf numFmtId="0" fontId="5" fillId="4" borderId="0" xfId="0" applyFont="1" applyFill="1"/>
    <xf numFmtId="0" fontId="2" fillId="0" borderId="0" xfId="0" applyFont="1" applyBorder="1" applyAlignment="1">
      <alignment vertical="center"/>
    </xf>
    <xf numFmtId="9" fontId="2" fillId="0" borderId="0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5" borderId="0" xfId="0" applyFont="1" applyFill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3" fillId="0" borderId="0" xfId="0" applyFont="1"/>
    <xf numFmtId="0" fontId="4" fillId="0" borderId="4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9" fontId="2" fillId="0" borderId="1" xfId="1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9" fontId="2" fillId="0" borderId="0" xfId="1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0" fontId="3" fillId="0" borderId="1" xfId="1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10" fontId="3" fillId="0" borderId="0" xfId="1" applyNumberFormat="1" applyFont="1" applyBorder="1" applyAlignment="1">
      <alignment horizontal="center" vertical="center" wrapText="1"/>
    </xf>
    <xf numFmtId="10" fontId="2" fillId="0" borderId="0" xfId="0" applyNumberFormat="1" applyFont="1" applyBorder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4" fillId="6" borderId="0" xfId="0" applyFont="1" applyFill="1"/>
    <xf numFmtId="0" fontId="4" fillId="7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3" fillId="4" borderId="0" xfId="0" applyFont="1" applyFill="1"/>
    <xf numFmtId="0" fontId="1" fillId="5" borderId="0" xfId="0" applyFont="1" applyFill="1"/>
    <xf numFmtId="0" fontId="4" fillId="0" borderId="2" xfId="0" applyFont="1" applyBorder="1" applyAlignment="1">
      <alignment horizontal="center" vertical="center" wrapText="1"/>
    </xf>
    <xf numFmtId="0" fontId="2" fillId="0" borderId="0" xfId="0" applyFont="1" applyBorder="1"/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4" fillId="4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/>
    </xf>
    <xf numFmtId="0" fontId="1" fillId="0" borderId="0" xfId="0" applyFont="1"/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1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9" fontId="2" fillId="5" borderId="0" xfId="1" applyFont="1" applyFill="1" applyBorder="1" applyAlignment="1">
      <alignment horizontal="center" vertic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00FFFF"/>
      <color rgb="FF00FF00"/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abSelected="1" workbookViewId="0">
      <selection activeCell="F6" sqref="F6:H6"/>
    </sheetView>
  </sheetViews>
  <sheetFormatPr baseColWidth="10" defaultRowHeight="15.75" x14ac:dyDescent="0.25"/>
  <cols>
    <col min="1" max="1" width="38.85546875" style="2" customWidth="1"/>
    <col min="2" max="6" width="10.28515625" style="2" customWidth="1"/>
    <col min="7" max="8" width="11.42578125" style="2"/>
    <col min="9" max="9" width="18.42578125" style="2" customWidth="1"/>
    <col min="10" max="16384" width="11.42578125" style="2"/>
  </cols>
  <sheetData>
    <row r="1" spans="1:10" x14ac:dyDescent="0.25">
      <c r="A1" s="5" t="s">
        <v>3</v>
      </c>
      <c r="B1" s="5"/>
      <c r="C1" s="5"/>
      <c r="D1" s="3"/>
      <c r="E1" s="3"/>
    </row>
    <row r="2" spans="1:10" x14ac:dyDescent="0.25">
      <c r="A2" s="4" t="s">
        <v>14</v>
      </c>
      <c r="B2" s="3"/>
      <c r="C2" s="3"/>
    </row>
    <row r="3" spans="1:10" x14ac:dyDescent="0.25">
      <c r="A3" s="12"/>
      <c r="B3" s="13"/>
      <c r="C3" s="13"/>
      <c r="D3" s="13"/>
    </row>
    <row r="4" spans="1:10" x14ac:dyDescent="0.25">
      <c r="A4" s="11" t="s">
        <v>13</v>
      </c>
      <c r="B4" s="9"/>
      <c r="C4" s="9"/>
      <c r="D4" s="9"/>
      <c r="E4" s="9"/>
      <c r="F4" s="9"/>
      <c r="G4" s="9"/>
      <c r="H4" s="3"/>
      <c r="I4" s="3"/>
      <c r="J4" s="3"/>
    </row>
    <row r="6" spans="1:10" x14ac:dyDescent="0.25">
      <c r="A6" s="8" t="s">
        <v>66</v>
      </c>
      <c r="B6" s="3"/>
      <c r="C6" s="3"/>
      <c r="D6" s="3"/>
      <c r="E6" s="3"/>
      <c r="F6" s="8" t="s">
        <v>67</v>
      </c>
      <c r="G6" s="16"/>
      <c r="H6" s="16"/>
    </row>
    <row r="7" spans="1:10" x14ac:dyDescent="0.25">
      <c r="A7" s="57" t="s">
        <v>55</v>
      </c>
      <c r="B7" s="59">
        <v>6</v>
      </c>
      <c r="F7" s="69" t="s">
        <v>54</v>
      </c>
      <c r="G7" s="69"/>
      <c r="H7" s="69"/>
      <c r="I7" s="1" t="s">
        <v>51</v>
      </c>
    </row>
    <row r="8" spans="1:10" x14ac:dyDescent="0.25">
      <c r="A8" s="56" t="s">
        <v>4</v>
      </c>
      <c r="B8" s="26">
        <v>36</v>
      </c>
      <c r="F8" s="70" t="s">
        <v>52</v>
      </c>
      <c r="G8" s="71"/>
      <c r="H8" s="71"/>
      <c r="I8" s="72"/>
    </row>
    <row r="9" spans="1:10" ht="31.5" customHeight="1" x14ac:dyDescent="0.25">
      <c r="A9" s="58" t="s">
        <v>5</v>
      </c>
      <c r="B9" s="26">
        <v>30</v>
      </c>
      <c r="F9" s="68" t="s">
        <v>53</v>
      </c>
      <c r="G9" s="68"/>
      <c r="H9" s="68"/>
      <c r="I9" s="51">
        <v>0.3</v>
      </c>
    </row>
    <row r="10" spans="1:10" ht="31.5" x14ac:dyDescent="0.25">
      <c r="A10" s="58" t="s">
        <v>6</v>
      </c>
      <c r="B10" s="26">
        <v>24</v>
      </c>
    </row>
    <row r="11" spans="1:10" x14ac:dyDescent="0.25">
      <c r="A11" s="56" t="s">
        <v>57</v>
      </c>
      <c r="B11" s="26">
        <v>2</v>
      </c>
    </row>
    <row r="12" spans="1:10" x14ac:dyDescent="0.25">
      <c r="A12" s="52"/>
      <c r="B12" s="53"/>
    </row>
    <row r="13" spans="1:10" x14ac:dyDescent="0.25">
      <c r="A13" s="54" t="s">
        <v>56</v>
      </c>
      <c r="B13" s="55"/>
    </row>
    <row r="14" spans="1:10" x14ac:dyDescent="0.25">
      <c r="A14" s="52" t="s">
        <v>58</v>
      </c>
      <c r="B14" s="61">
        <f>(B9/B7)*2</f>
        <v>10</v>
      </c>
    </row>
    <row r="15" spans="1:10" x14ac:dyDescent="0.25">
      <c r="A15" s="52"/>
      <c r="B15" s="53"/>
    </row>
    <row r="16" spans="1:10" x14ac:dyDescent="0.25">
      <c r="A16" s="54" t="s">
        <v>59</v>
      </c>
      <c r="B16" s="55"/>
      <c r="C16" s="9"/>
      <c r="D16" s="9"/>
      <c r="E16" s="9"/>
      <c r="F16" s="9"/>
      <c r="G16" s="9"/>
      <c r="H16" s="9"/>
      <c r="I16" s="9"/>
    </row>
    <row r="17" spans="1:8" x14ac:dyDescent="0.25">
      <c r="A17" s="52"/>
      <c r="B17" s="53"/>
    </row>
    <row r="18" spans="1:8" x14ac:dyDescent="0.25">
      <c r="A18" s="60" t="s">
        <v>60</v>
      </c>
      <c r="C18" s="3"/>
      <c r="D18" s="62">
        <f>(B9/6)*3+B14</f>
        <v>25</v>
      </c>
      <c r="E18" s="3"/>
      <c r="F18" s="3"/>
      <c r="G18" s="3"/>
      <c r="H18" s="3"/>
    </row>
    <row r="19" spans="1:8" x14ac:dyDescent="0.25">
      <c r="B19" s="3"/>
      <c r="C19" s="23"/>
      <c r="D19" s="23"/>
      <c r="E19" s="23"/>
    </row>
    <row r="20" spans="1:8" x14ac:dyDescent="0.25">
      <c r="A20" s="7" t="s">
        <v>13</v>
      </c>
      <c r="B20" s="45"/>
      <c r="C20" s="9"/>
      <c r="D20" s="9"/>
      <c r="E20" s="9"/>
      <c r="F20" s="9"/>
      <c r="G20" s="9"/>
    </row>
    <row r="21" spans="1:8" ht="24.75" customHeight="1" x14ac:dyDescent="0.25">
      <c r="A21" s="20" t="s">
        <v>8</v>
      </c>
      <c r="B21" s="21">
        <v>17</v>
      </c>
      <c r="C21" s="21">
        <v>18</v>
      </c>
      <c r="D21" s="21">
        <v>19</v>
      </c>
      <c r="E21" s="21">
        <v>20</v>
      </c>
    </row>
    <row r="22" spans="1:8" ht="24.75" customHeight="1" x14ac:dyDescent="0.25">
      <c r="A22" s="22" t="s">
        <v>9</v>
      </c>
      <c r="B22" s="49">
        <f>$D$18</f>
        <v>25</v>
      </c>
      <c r="C22" s="49">
        <f t="shared" ref="C22:E22" si="0">$D$18</f>
        <v>25</v>
      </c>
      <c r="D22" s="49">
        <f t="shared" si="0"/>
        <v>25</v>
      </c>
      <c r="E22" s="49">
        <f t="shared" si="0"/>
        <v>25</v>
      </c>
    </row>
    <row r="23" spans="1:8" ht="24.75" customHeight="1" x14ac:dyDescent="0.25">
      <c r="A23" s="22" t="s">
        <v>10</v>
      </c>
      <c r="B23" s="50">
        <f>B8</f>
        <v>36</v>
      </c>
      <c r="C23" s="19">
        <f>B27</f>
        <v>30</v>
      </c>
      <c r="D23" s="19">
        <f t="shared" ref="D23:E23" si="1">C27</f>
        <v>48</v>
      </c>
      <c r="E23" s="19">
        <f t="shared" si="1"/>
        <v>42</v>
      </c>
    </row>
    <row r="24" spans="1:8" ht="24.75" customHeight="1" x14ac:dyDescent="0.25">
      <c r="A24" s="22" t="s">
        <v>11</v>
      </c>
      <c r="B24" s="50">
        <f>$B$9</f>
        <v>30</v>
      </c>
      <c r="C24" s="50">
        <f t="shared" ref="C24:E24" si="2">$B$9</f>
        <v>30</v>
      </c>
      <c r="D24" s="50">
        <f t="shared" si="2"/>
        <v>30</v>
      </c>
      <c r="E24" s="50">
        <f t="shared" si="2"/>
        <v>30</v>
      </c>
    </row>
    <row r="25" spans="1:8" ht="24.75" customHeight="1" x14ac:dyDescent="0.25">
      <c r="A25" s="22" t="s">
        <v>2</v>
      </c>
      <c r="B25" s="50">
        <f>B23-B24</f>
        <v>6</v>
      </c>
      <c r="C25" s="19">
        <v>0</v>
      </c>
      <c r="D25" s="19">
        <v>18</v>
      </c>
      <c r="E25" s="19">
        <v>12</v>
      </c>
    </row>
    <row r="26" spans="1:8" ht="24.75" customHeight="1" x14ac:dyDescent="0.25">
      <c r="A26" s="24" t="s">
        <v>12</v>
      </c>
      <c r="B26" s="50">
        <f>$B$10</f>
        <v>24</v>
      </c>
      <c r="C26" s="50">
        <f>$B$10*2</f>
        <v>48</v>
      </c>
      <c r="D26" s="50">
        <f t="shared" ref="D26:E26" si="3">$B$10</f>
        <v>24</v>
      </c>
      <c r="E26" s="50">
        <f t="shared" si="3"/>
        <v>24</v>
      </c>
    </row>
    <row r="27" spans="1:8" x14ac:dyDescent="0.25">
      <c r="A27" s="22" t="s">
        <v>1</v>
      </c>
      <c r="B27" s="50">
        <f>B23+B26-B24</f>
        <v>30</v>
      </c>
      <c r="C27" s="50">
        <f t="shared" ref="C27:E27" si="4">C23+C26-C24</f>
        <v>48</v>
      </c>
      <c r="D27" s="50">
        <f t="shared" si="4"/>
        <v>42</v>
      </c>
      <c r="E27" s="50">
        <f t="shared" si="4"/>
        <v>36</v>
      </c>
    </row>
  </sheetData>
  <mergeCells count="3">
    <mergeCell ref="F9:H9"/>
    <mergeCell ref="F7:H7"/>
    <mergeCell ref="F8:I8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0"/>
  <sheetViews>
    <sheetView topLeftCell="A13" workbookViewId="0">
      <selection activeCell="A14" sqref="A14"/>
    </sheetView>
  </sheetViews>
  <sheetFormatPr baseColWidth="10" defaultRowHeight="15.75" x14ac:dyDescent="0.25"/>
  <cols>
    <col min="1" max="1" width="40.7109375" style="2" customWidth="1"/>
    <col min="2" max="16384" width="11.42578125" style="2"/>
  </cols>
  <sheetData>
    <row r="1" spans="1:8" x14ac:dyDescent="0.25">
      <c r="A1" s="5" t="s">
        <v>3</v>
      </c>
      <c r="B1" s="5"/>
      <c r="C1" s="5"/>
    </row>
    <row r="2" spans="1:8" x14ac:dyDescent="0.25">
      <c r="A2" s="4" t="s">
        <v>32</v>
      </c>
      <c r="B2" s="3"/>
      <c r="C2" s="3"/>
    </row>
    <row r="4" spans="1:8" x14ac:dyDescent="0.25">
      <c r="A4" s="8" t="s">
        <v>68</v>
      </c>
      <c r="B4" s="16"/>
      <c r="C4" s="16"/>
      <c r="D4" s="16"/>
      <c r="E4" s="16"/>
      <c r="F4" s="16"/>
    </row>
    <row r="5" spans="1:8" x14ac:dyDescent="0.25">
      <c r="A5" s="14" t="s">
        <v>15</v>
      </c>
      <c r="B5" s="15">
        <v>58</v>
      </c>
    </row>
    <row r="6" spans="1:8" ht="33" customHeight="1" x14ac:dyDescent="0.25">
      <c r="A6" s="18" t="s">
        <v>16</v>
      </c>
      <c r="B6" s="15">
        <v>400</v>
      </c>
    </row>
    <row r="7" spans="1:8" ht="18.75" customHeight="1" x14ac:dyDescent="0.25">
      <c r="A7" s="18" t="s">
        <v>17</v>
      </c>
      <c r="B7" s="27">
        <v>0.02</v>
      </c>
    </row>
    <row r="8" spans="1:8" x14ac:dyDescent="0.25">
      <c r="A8" s="14" t="s">
        <v>7</v>
      </c>
      <c r="B8" s="27">
        <v>0.05</v>
      </c>
    </row>
    <row r="9" spans="1:8" x14ac:dyDescent="0.25">
      <c r="A9" s="28"/>
      <c r="B9" s="29"/>
    </row>
    <row r="10" spans="1:8" x14ac:dyDescent="0.25">
      <c r="A10" s="8" t="s">
        <v>69</v>
      </c>
      <c r="B10" s="73"/>
      <c r="C10" s="16"/>
      <c r="D10" s="16"/>
    </row>
    <row r="11" spans="1:8" x14ac:dyDescent="0.25">
      <c r="B11" s="26" t="s">
        <v>18</v>
      </c>
      <c r="C11" s="26" t="s">
        <v>19</v>
      </c>
      <c r="D11" s="26" t="s">
        <v>20</v>
      </c>
      <c r="E11" s="26" t="s">
        <v>21</v>
      </c>
      <c r="F11" s="26" t="s">
        <v>22</v>
      </c>
      <c r="G11" s="26" t="s">
        <v>23</v>
      </c>
      <c r="H11" s="30" t="s">
        <v>24</v>
      </c>
    </row>
    <row r="12" spans="1:8" s="34" customFormat="1" ht="31.5" x14ac:dyDescent="0.25">
      <c r="A12" s="31" t="s">
        <v>33</v>
      </c>
      <c r="B12" s="32">
        <v>0.125</v>
      </c>
      <c r="C12" s="32">
        <v>0.1125</v>
      </c>
      <c r="D12" s="32">
        <v>0.17499999999999999</v>
      </c>
      <c r="E12" s="32">
        <v>0.1875</v>
      </c>
      <c r="F12" s="32">
        <v>0.17499999999999999</v>
      </c>
      <c r="G12" s="32">
        <v>0.22500000000000001</v>
      </c>
      <c r="H12" s="33">
        <f>SUM(B12:G12)</f>
        <v>0.99999999999999989</v>
      </c>
    </row>
    <row r="13" spans="1:8" x14ac:dyDescent="0.25">
      <c r="A13" s="35"/>
      <c r="B13" s="36"/>
      <c r="C13" s="36"/>
      <c r="D13" s="36"/>
      <c r="E13" s="36"/>
      <c r="F13" s="36"/>
      <c r="G13" s="36"/>
      <c r="H13" s="37"/>
    </row>
    <row r="14" spans="1:8" x14ac:dyDescent="0.25">
      <c r="A14" s="7" t="s">
        <v>34</v>
      </c>
      <c r="B14" s="9"/>
      <c r="C14" s="9"/>
      <c r="D14" s="9"/>
      <c r="E14" s="9"/>
      <c r="F14" s="9"/>
    </row>
    <row r="15" spans="1:8" ht="23.25" customHeight="1" x14ac:dyDescent="0.25">
      <c r="A15" s="14" t="s">
        <v>25</v>
      </c>
      <c r="B15" s="17" t="s">
        <v>18</v>
      </c>
      <c r="C15" s="17" t="s">
        <v>19</v>
      </c>
      <c r="D15" s="17" t="s">
        <v>20</v>
      </c>
      <c r="E15" s="17" t="s">
        <v>21</v>
      </c>
      <c r="F15" s="17" t="s">
        <v>22</v>
      </c>
      <c r="G15" s="17" t="s">
        <v>23</v>
      </c>
    </row>
    <row r="16" spans="1:8" ht="27.75" customHeight="1" x14ac:dyDescent="0.25">
      <c r="A16" s="25" t="s">
        <v>11</v>
      </c>
      <c r="B16" s="63">
        <f>$B$6*B12</f>
        <v>50</v>
      </c>
      <c r="C16" s="63">
        <f t="shared" ref="C16:G16" si="0">$B$6*C12</f>
        <v>45</v>
      </c>
      <c r="D16" s="63">
        <f t="shared" si="0"/>
        <v>70</v>
      </c>
      <c r="E16" s="63">
        <f t="shared" si="0"/>
        <v>75</v>
      </c>
      <c r="F16" s="63">
        <f t="shared" si="0"/>
        <v>70</v>
      </c>
      <c r="G16" s="63">
        <f t="shared" si="0"/>
        <v>90</v>
      </c>
    </row>
    <row r="17" spans="1:7" ht="27.75" customHeight="1" x14ac:dyDescent="0.25">
      <c r="A17" s="25" t="s">
        <v>26</v>
      </c>
      <c r="B17" s="63">
        <f>ROUNDUP(B16*(1+$B$7)*(1+$B$8),)</f>
        <v>54</v>
      </c>
      <c r="C17" s="63">
        <f t="shared" ref="C17:G17" si="1">ROUNDUP(C16*(1+$B$7)*(1+$B$8),)</f>
        <v>49</v>
      </c>
      <c r="D17" s="63">
        <f t="shared" si="1"/>
        <v>75</v>
      </c>
      <c r="E17" s="63">
        <f t="shared" si="1"/>
        <v>81</v>
      </c>
      <c r="F17" s="63">
        <f t="shared" si="1"/>
        <v>75</v>
      </c>
      <c r="G17" s="63">
        <f t="shared" si="1"/>
        <v>97</v>
      </c>
    </row>
    <row r="18" spans="1:7" ht="27.75" customHeight="1" x14ac:dyDescent="0.25">
      <c r="A18" s="25" t="s">
        <v>10</v>
      </c>
      <c r="B18" s="63">
        <f>B5</f>
        <v>58</v>
      </c>
      <c r="C18" s="63">
        <f>B23</f>
        <v>7</v>
      </c>
      <c r="D18" s="63">
        <v>3</v>
      </c>
      <c r="E18" s="63">
        <v>3</v>
      </c>
      <c r="F18" s="63">
        <v>4</v>
      </c>
      <c r="G18" s="63">
        <v>3</v>
      </c>
    </row>
    <row r="19" spans="1:7" ht="27.75" customHeight="1" x14ac:dyDescent="0.25">
      <c r="A19" s="25" t="s">
        <v>27</v>
      </c>
      <c r="B19" s="64">
        <f t="shared" ref="B19:G19" si="2">IF(B17&lt;B18,0,(B17-B18))</f>
        <v>0</v>
      </c>
      <c r="C19" s="64">
        <f t="shared" si="2"/>
        <v>42</v>
      </c>
      <c r="D19" s="64">
        <f t="shared" si="2"/>
        <v>72</v>
      </c>
      <c r="E19" s="64">
        <f t="shared" si="2"/>
        <v>78</v>
      </c>
      <c r="F19" s="64">
        <f t="shared" si="2"/>
        <v>71</v>
      </c>
      <c r="G19" s="64">
        <f t="shared" si="2"/>
        <v>94</v>
      </c>
    </row>
    <row r="20" spans="1:7" ht="27.75" customHeight="1" x14ac:dyDescent="0.25">
      <c r="A20" s="25" t="s">
        <v>28</v>
      </c>
      <c r="B20" s="63">
        <f>B18+B19</f>
        <v>58</v>
      </c>
      <c r="C20" s="63">
        <f t="shared" ref="C20:G20" si="3">C18+C19</f>
        <v>49</v>
      </c>
      <c r="D20" s="63">
        <f t="shared" si="3"/>
        <v>75</v>
      </c>
      <c r="E20" s="63">
        <f t="shared" si="3"/>
        <v>81</v>
      </c>
      <c r="F20" s="63">
        <f t="shared" si="3"/>
        <v>75</v>
      </c>
      <c r="G20" s="63">
        <f t="shared" si="3"/>
        <v>97</v>
      </c>
    </row>
    <row r="21" spans="1:7" ht="27.75" customHeight="1" x14ac:dyDescent="0.25">
      <c r="A21" s="25" t="s">
        <v>29</v>
      </c>
      <c r="B21" s="63">
        <f>B18+B19-B16</f>
        <v>8</v>
      </c>
      <c r="C21" s="63">
        <f t="shared" ref="C21:G21" si="4">C18+C19-C16</f>
        <v>4</v>
      </c>
      <c r="D21" s="63">
        <f t="shared" si="4"/>
        <v>5</v>
      </c>
      <c r="E21" s="63">
        <f t="shared" si="4"/>
        <v>6</v>
      </c>
      <c r="F21" s="63">
        <f t="shared" si="4"/>
        <v>5</v>
      </c>
      <c r="G21" s="63">
        <f t="shared" si="4"/>
        <v>7</v>
      </c>
    </row>
    <row r="22" spans="1:7" ht="27.75" customHeight="1" x14ac:dyDescent="0.25">
      <c r="A22" s="25" t="s">
        <v>30</v>
      </c>
      <c r="B22" s="65">
        <f>B16*$B$7</f>
        <v>1</v>
      </c>
      <c r="C22" s="65">
        <f t="shared" ref="C22:G22" si="5">C16*$B$7</f>
        <v>0.9</v>
      </c>
      <c r="D22" s="65">
        <f t="shared" si="5"/>
        <v>1.4000000000000001</v>
      </c>
      <c r="E22" s="65">
        <f t="shared" si="5"/>
        <v>1.5</v>
      </c>
      <c r="F22" s="65">
        <f t="shared" si="5"/>
        <v>1.4000000000000001</v>
      </c>
      <c r="G22" s="65">
        <f t="shared" si="5"/>
        <v>1.8</v>
      </c>
    </row>
    <row r="23" spans="1:7" ht="27.75" customHeight="1" x14ac:dyDescent="0.25">
      <c r="A23" s="25" t="s">
        <v>31</v>
      </c>
      <c r="B23" s="63">
        <f>B21-B22</f>
        <v>7</v>
      </c>
      <c r="C23" s="63">
        <v>3</v>
      </c>
      <c r="D23" s="63">
        <v>3</v>
      </c>
      <c r="E23" s="63">
        <v>4</v>
      </c>
      <c r="F23" s="63">
        <v>3</v>
      </c>
      <c r="G23" s="63">
        <v>5</v>
      </c>
    </row>
    <row r="26" spans="1:7" x14ac:dyDescent="0.25">
      <c r="B26" s="38"/>
    </row>
    <row r="27" spans="1:7" x14ac:dyDescent="0.25">
      <c r="B27" s="38"/>
    </row>
    <row r="28" spans="1:7" x14ac:dyDescent="0.25">
      <c r="B28" s="38"/>
    </row>
    <row r="29" spans="1:7" x14ac:dyDescent="0.25">
      <c r="B29" s="38"/>
    </row>
    <row r="30" spans="1:7" x14ac:dyDescent="0.25">
      <c r="B30" s="39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36"/>
  <sheetViews>
    <sheetView workbookViewId="0">
      <selection activeCell="C12" sqref="C12"/>
    </sheetView>
  </sheetViews>
  <sheetFormatPr baseColWidth="10" defaultRowHeight="15.75" x14ac:dyDescent="0.25"/>
  <cols>
    <col min="1" max="1" width="36.42578125" style="2" customWidth="1"/>
    <col min="2" max="5" width="18" style="2" customWidth="1"/>
    <col min="6" max="16384" width="11.42578125" style="2"/>
  </cols>
  <sheetData>
    <row r="1" spans="1:5" x14ac:dyDescent="0.25">
      <c r="A1" s="42" t="s">
        <v>3</v>
      </c>
      <c r="B1" s="42"/>
      <c r="C1" s="42"/>
    </row>
    <row r="2" spans="1:5" x14ac:dyDescent="0.25">
      <c r="A2" s="43" t="s">
        <v>46</v>
      </c>
      <c r="B2" s="23"/>
      <c r="C2" s="23"/>
    </row>
    <row r="3" spans="1:5" s="3" customFormat="1" x14ac:dyDescent="0.25"/>
    <row r="4" spans="1:5" x14ac:dyDescent="0.25">
      <c r="A4" s="46" t="s">
        <v>48</v>
      </c>
      <c r="B4" s="16"/>
      <c r="C4" s="16"/>
      <c r="D4" s="16"/>
    </row>
    <row r="5" spans="1:5" x14ac:dyDescent="0.25">
      <c r="A5" s="6" t="s">
        <v>8</v>
      </c>
      <c r="B5" s="15">
        <v>10</v>
      </c>
      <c r="C5" s="15">
        <v>11</v>
      </c>
      <c r="D5" s="15">
        <v>12</v>
      </c>
      <c r="E5" s="15">
        <v>13</v>
      </c>
    </row>
    <row r="6" spans="1:5" x14ac:dyDescent="0.25">
      <c r="A6" s="14" t="s">
        <v>11</v>
      </c>
      <c r="B6" s="1">
        <v>12</v>
      </c>
      <c r="C6" s="1">
        <v>18</v>
      </c>
      <c r="D6" s="1">
        <v>24</v>
      </c>
      <c r="E6" s="1">
        <v>18</v>
      </c>
    </row>
    <row r="8" spans="1:5" x14ac:dyDescent="0.25">
      <c r="A8" s="46" t="s">
        <v>49</v>
      </c>
      <c r="B8" s="46"/>
      <c r="C8" s="46"/>
      <c r="D8" s="46"/>
    </row>
    <row r="9" spans="1:5" x14ac:dyDescent="0.25">
      <c r="A9" s="10" t="s">
        <v>35</v>
      </c>
      <c r="B9" s="15">
        <v>8</v>
      </c>
    </row>
    <row r="10" spans="1:5" ht="63" x14ac:dyDescent="0.25">
      <c r="A10" s="6" t="s">
        <v>36</v>
      </c>
      <c r="B10" s="15" t="s">
        <v>37</v>
      </c>
    </row>
    <row r="11" spans="1:5" ht="31.5" x14ac:dyDescent="0.25">
      <c r="A11" s="6" t="s">
        <v>6</v>
      </c>
      <c r="B11" s="15">
        <v>24</v>
      </c>
    </row>
    <row r="12" spans="1:5" x14ac:dyDescent="0.25">
      <c r="A12" s="6" t="s">
        <v>38</v>
      </c>
      <c r="B12" s="15">
        <v>1</v>
      </c>
    </row>
    <row r="13" spans="1:5" x14ac:dyDescent="0.25">
      <c r="A13" s="10" t="s">
        <v>39</v>
      </c>
      <c r="B13" s="15">
        <v>5</v>
      </c>
    </row>
    <row r="14" spans="1:5" x14ac:dyDescent="0.25">
      <c r="A14" s="28"/>
      <c r="B14" s="40"/>
      <c r="C14" s="40"/>
      <c r="D14" s="40"/>
      <c r="E14" s="40"/>
    </row>
    <row r="15" spans="1:5" x14ac:dyDescent="0.25">
      <c r="A15" s="28"/>
      <c r="B15" s="40"/>
      <c r="C15" s="40"/>
      <c r="D15" s="40"/>
      <c r="E15" s="40"/>
    </row>
    <row r="16" spans="1:5" s="48" customFormat="1" x14ac:dyDescent="0.25">
      <c r="A16" s="44" t="s">
        <v>47</v>
      </c>
      <c r="B16" s="45"/>
      <c r="C16" s="45"/>
      <c r="D16" s="41"/>
      <c r="E16" s="41"/>
    </row>
    <row r="17" spans="1:7" ht="24.75" customHeight="1" x14ac:dyDescent="0.25">
      <c r="A17" s="18" t="s">
        <v>8</v>
      </c>
      <c r="B17" s="31">
        <v>10</v>
      </c>
      <c r="C17" s="31">
        <v>11</v>
      </c>
      <c r="D17" s="31">
        <v>12</v>
      </c>
      <c r="E17" s="31">
        <v>13</v>
      </c>
    </row>
    <row r="18" spans="1:7" ht="24.75" customHeight="1" x14ac:dyDescent="0.25">
      <c r="A18" s="18" t="s">
        <v>11</v>
      </c>
      <c r="B18" s="66">
        <f>B6</f>
        <v>12</v>
      </c>
      <c r="C18" s="66">
        <f t="shared" ref="C18:E18" si="0">C6</f>
        <v>18</v>
      </c>
      <c r="D18" s="66">
        <f t="shared" si="0"/>
        <v>24</v>
      </c>
      <c r="E18" s="66">
        <f t="shared" si="0"/>
        <v>18</v>
      </c>
    </row>
    <row r="19" spans="1:7" ht="24.75" customHeight="1" x14ac:dyDescent="0.25">
      <c r="A19" s="18" t="s">
        <v>10</v>
      </c>
      <c r="B19" s="66">
        <f>B9</f>
        <v>8</v>
      </c>
      <c r="C19" s="66">
        <f>B23</f>
        <v>20</v>
      </c>
      <c r="D19" s="66">
        <f t="shared" ref="D19:E19" si="1">C23</f>
        <v>26</v>
      </c>
      <c r="E19" s="66">
        <f t="shared" si="1"/>
        <v>26</v>
      </c>
    </row>
    <row r="20" spans="1:7" ht="24.75" customHeight="1" x14ac:dyDescent="0.25">
      <c r="A20" s="18" t="s">
        <v>40</v>
      </c>
      <c r="B20" s="66">
        <f>B18+$B$13</f>
        <v>17</v>
      </c>
      <c r="C20" s="66">
        <f t="shared" ref="C20:E20" si="2">C18+$B$13</f>
        <v>23</v>
      </c>
      <c r="D20" s="66">
        <f t="shared" si="2"/>
        <v>29</v>
      </c>
      <c r="E20" s="66">
        <f t="shared" si="2"/>
        <v>23</v>
      </c>
    </row>
    <row r="21" spans="1:7" ht="24.75" customHeight="1" x14ac:dyDescent="0.25">
      <c r="A21" s="18" t="s">
        <v>0</v>
      </c>
      <c r="B21" s="66">
        <f>IF(B19&lt;B20,$B$11,0)</f>
        <v>24</v>
      </c>
      <c r="C21" s="66">
        <f t="shared" ref="C21:E21" si="3">IF(C19&lt;C20,$B$11,0)</f>
        <v>24</v>
      </c>
      <c r="D21" s="66">
        <f t="shared" si="3"/>
        <v>24</v>
      </c>
      <c r="E21" s="66">
        <f t="shared" si="3"/>
        <v>0</v>
      </c>
    </row>
    <row r="22" spans="1:7" ht="24.75" customHeight="1" x14ac:dyDescent="0.25">
      <c r="A22" s="18" t="s">
        <v>41</v>
      </c>
      <c r="B22" s="66">
        <f>B19+B21</f>
        <v>32</v>
      </c>
      <c r="C22" s="66">
        <f t="shared" ref="C22:E22" si="4">C19+C21</f>
        <v>44</v>
      </c>
      <c r="D22" s="66">
        <f t="shared" si="4"/>
        <v>50</v>
      </c>
      <c r="E22" s="66">
        <f t="shared" si="4"/>
        <v>26</v>
      </c>
    </row>
    <row r="23" spans="1:7" ht="24.75" customHeight="1" x14ac:dyDescent="0.25">
      <c r="A23" s="18" t="s">
        <v>1</v>
      </c>
      <c r="B23" s="66">
        <f>B19+B21-B18</f>
        <v>20</v>
      </c>
      <c r="C23" s="66">
        <f t="shared" ref="C23:E23" si="5">C19+C21-C18</f>
        <v>26</v>
      </c>
      <c r="D23" s="66">
        <f t="shared" si="5"/>
        <v>26</v>
      </c>
      <c r="E23" s="66">
        <f t="shared" si="5"/>
        <v>8</v>
      </c>
    </row>
    <row r="24" spans="1:7" ht="24.75" customHeight="1" x14ac:dyDescent="0.25">
      <c r="A24" s="18" t="s">
        <v>42</v>
      </c>
      <c r="B24" s="66">
        <f>B18/6</f>
        <v>2</v>
      </c>
      <c r="C24" s="66">
        <f t="shared" ref="C24:E24" si="6">C18/6</f>
        <v>3</v>
      </c>
      <c r="D24" s="66">
        <f t="shared" si="6"/>
        <v>4</v>
      </c>
      <c r="E24" s="66">
        <f t="shared" si="6"/>
        <v>3</v>
      </c>
    </row>
    <row r="25" spans="1:7" ht="24.75" customHeight="1" x14ac:dyDescent="0.25">
      <c r="A25" s="18" t="s">
        <v>43</v>
      </c>
      <c r="B25" s="66" t="s">
        <v>61</v>
      </c>
      <c r="C25" s="66" t="s">
        <v>62</v>
      </c>
      <c r="D25" s="66" t="s">
        <v>62</v>
      </c>
      <c r="E25" s="66"/>
    </row>
    <row r="26" spans="1:7" ht="24.75" customHeight="1" x14ac:dyDescent="0.25">
      <c r="A26" s="18" t="s">
        <v>44</v>
      </c>
      <c r="B26" s="66" t="s">
        <v>63</v>
      </c>
      <c r="C26" s="66" t="s">
        <v>64</v>
      </c>
      <c r="D26" s="66" t="s">
        <v>65</v>
      </c>
      <c r="E26" s="66"/>
    </row>
    <row r="27" spans="1:7" ht="24.75" customHeight="1" x14ac:dyDescent="0.25">
      <c r="A27" s="35"/>
      <c r="B27" s="67"/>
      <c r="C27" s="67"/>
      <c r="D27" s="67"/>
      <c r="E27" s="67"/>
    </row>
    <row r="29" spans="1:7" x14ac:dyDescent="0.25">
      <c r="A29" s="7" t="s">
        <v>50</v>
      </c>
      <c r="B29" s="7"/>
      <c r="C29" s="7"/>
      <c r="D29" s="7"/>
      <c r="E29" s="7"/>
      <c r="F29" s="7"/>
      <c r="G29" s="9"/>
    </row>
    <row r="30" spans="1:7" ht="23.25" customHeight="1" x14ac:dyDescent="0.25">
      <c r="A30" s="25" t="s">
        <v>8</v>
      </c>
      <c r="B30" s="47">
        <v>10</v>
      </c>
      <c r="C30" s="47">
        <v>11</v>
      </c>
      <c r="D30" s="47">
        <v>12</v>
      </c>
      <c r="E30" s="47">
        <v>13</v>
      </c>
    </row>
    <row r="31" spans="1:7" ht="23.25" customHeight="1" x14ac:dyDescent="0.25">
      <c r="A31" s="24" t="s">
        <v>11</v>
      </c>
      <c r="B31" s="66">
        <f>B6</f>
        <v>12</v>
      </c>
      <c r="C31" s="66">
        <f t="shared" ref="C31:E31" si="7">C6</f>
        <v>18</v>
      </c>
      <c r="D31" s="66">
        <f t="shared" si="7"/>
        <v>24</v>
      </c>
      <c r="E31" s="66">
        <f t="shared" si="7"/>
        <v>18</v>
      </c>
    </row>
    <row r="32" spans="1:7" ht="23.25" customHeight="1" x14ac:dyDescent="0.25">
      <c r="A32" s="24" t="s">
        <v>10</v>
      </c>
      <c r="B32" s="66">
        <f>B9</f>
        <v>8</v>
      </c>
      <c r="C32" s="66">
        <f>B36</f>
        <v>23</v>
      </c>
      <c r="D32" s="66">
        <f t="shared" ref="D32:E32" si="8">C36</f>
        <v>5</v>
      </c>
      <c r="E32" s="66">
        <f t="shared" si="8"/>
        <v>23</v>
      </c>
    </row>
    <row r="33" spans="1:5" ht="23.25" customHeight="1" x14ac:dyDescent="0.25">
      <c r="A33" s="24" t="s">
        <v>45</v>
      </c>
      <c r="B33" s="66">
        <f>B31+C31+$B$13</f>
        <v>35</v>
      </c>
      <c r="C33" s="66"/>
      <c r="D33" s="66">
        <f>D31+E31+$B$13</f>
        <v>47</v>
      </c>
      <c r="E33" s="66"/>
    </row>
    <row r="34" spans="1:5" ht="23.25" customHeight="1" x14ac:dyDescent="0.25">
      <c r="A34" s="24" t="s">
        <v>0</v>
      </c>
      <c r="B34" s="66">
        <f>B33-B32</f>
        <v>27</v>
      </c>
      <c r="C34" s="66"/>
      <c r="D34" s="66">
        <f>D33-D32</f>
        <v>42</v>
      </c>
      <c r="E34" s="66"/>
    </row>
    <row r="35" spans="1:5" ht="23.25" customHeight="1" x14ac:dyDescent="0.25">
      <c r="A35" s="24" t="s">
        <v>41</v>
      </c>
      <c r="B35" s="66">
        <f>B32+B34</f>
        <v>35</v>
      </c>
      <c r="C35" s="66">
        <f t="shared" ref="C35:E35" si="9">C32+C34</f>
        <v>23</v>
      </c>
      <c r="D35" s="66">
        <f t="shared" si="9"/>
        <v>47</v>
      </c>
      <c r="E35" s="66">
        <f t="shared" si="9"/>
        <v>23</v>
      </c>
    </row>
    <row r="36" spans="1:5" ht="23.25" customHeight="1" x14ac:dyDescent="0.25">
      <c r="A36" s="24" t="s">
        <v>1</v>
      </c>
      <c r="B36" s="66">
        <f>B35-B31</f>
        <v>23</v>
      </c>
      <c r="C36" s="66">
        <f t="shared" ref="C36:E36" si="10">C35-C31</f>
        <v>5</v>
      </c>
      <c r="D36" s="66">
        <f t="shared" si="10"/>
        <v>23</v>
      </c>
      <c r="E36" s="66">
        <f t="shared" si="10"/>
        <v>5</v>
      </c>
    </row>
  </sheetData>
  <pageMargins left="0.7" right="0.7" top="0.75" bottom="0.75" header="0.3" footer="0.3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Corrigé Exercice 3-CH3</vt:lpstr>
      <vt:lpstr>Corrigé Exercice 4 - Chap3</vt:lpstr>
      <vt:lpstr>Corrigé Exercice 5 - Chap3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COIC</dc:creator>
  <cp:lastModifiedBy>Bernard COÏC</cp:lastModifiedBy>
  <dcterms:created xsi:type="dcterms:W3CDTF">2019-01-13T10:34:42Z</dcterms:created>
  <dcterms:modified xsi:type="dcterms:W3CDTF">2021-11-09T17:22:00Z</dcterms:modified>
</cp:coreProperties>
</file>