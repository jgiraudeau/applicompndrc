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camil\Documents\FOUCHER BTS CO 21\BTS MCO\BLOC 3\Missions_Exercices_Corriges 7 dossiers (2)\Missions_Excercices_chap20\"/>
    </mc:Choice>
  </mc:AlternateContent>
  <xr:revisionPtr revIDLastSave="0" documentId="13_ncr:1_{87A8A8D4-19E7-4120-90BF-9D19CF3339B6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Mission 1 - Question 2" sheetId="1" r:id="rId1"/>
    <sheet name="Mission 2 - Question 3" sheetId="2" r:id="rId2"/>
    <sheet name="Mission 3 - Question 4" sheetId="3" r:id="rId3"/>
    <sheet name="Mission 3 - Question 5" sheetId="4" r:id="rId4"/>
    <sheet name="Mission 4 - Question 6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8" i="1"/>
  <c r="I9" i="1"/>
  <c r="E12" i="1"/>
  <c r="I10" i="1"/>
  <c r="I11" i="1"/>
  <c r="C4" i="5"/>
  <c r="C14" i="5"/>
  <c r="C15" i="5"/>
  <c r="J7" i="1"/>
  <c r="J8" i="1"/>
  <c r="J9" i="1"/>
  <c r="J10" i="1"/>
  <c r="J11" i="1"/>
  <c r="D4" i="5"/>
  <c r="D14" i="5"/>
  <c r="D15" i="5"/>
  <c r="K7" i="1"/>
  <c r="K8" i="1"/>
  <c r="K9" i="1"/>
  <c r="K10" i="1"/>
  <c r="K11" i="1"/>
  <c r="E4" i="5"/>
  <c r="E14" i="5"/>
  <c r="E15" i="5"/>
  <c r="L7" i="1"/>
  <c r="L8" i="1"/>
  <c r="L9" i="1"/>
  <c r="L10" i="1"/>
  <c r="L11" i="1"/>
  <c r="F4" i="5"/>
  <c r="F14" i="5"/>
  <c r="F15" i="5"/>
  <c r="M7" i="1"/>
  <c r="M8" i="1"/>
  <c r="M9" i="1"/>
  <c r="M10" i="1"/>
  <c r="M11" i="1"/>
  <c r="G4" i="5"/>
  <c r="G14" i="5"/>
  <c r="G15" i="5"/>
  <c r="H11" i="1"/>
  <c r="B4" i="5"/>
  <c r="B14" i="5"/>
  <c r="B15" i="5"/>
  <c r="H22" i="1"/>
  <c r="B13" i="2"/>
  <c r="B14" i="2"/>
  <c r="D10" i="3"/>
  <c r="B14" i="4"/>
  <c r="B15" i="4"/>
  <c r="I18" i="1"/>
  <c r="I19" i="1"/>
  <c r="I20" i="1"/>
  <c r="I21" i="1"/>
  <c r="I22" i="1"/>
  <c r="C13" i="2"/>
  <c r="C14" i="2"/>
  <c r="E10" i="3"/>
  <c r="C14" i="4"/>
  <c r="C15" i="4"/>
  <c r="J18" i="1"/>
  <c r="J19" i="1"/>
  <c r="J20" i="1"/>
  <c r="J21" i="1"/>
  <c r="J22" i="1"/>
  <c r="D13" i="2"/>
  <c r="D14" i="2"/>
  <c r="F10" i="3"/>
  <c r="D14" i="4"/>
  <c r="D15" i="4"/>
  <c r="K18" i="1"/>
  <c r="K19" i="1"/>
  <c r="K20" i="1"/>
  <c r="K21" i="1"/>
  <c r="K22" i="1"/>
  <c r="E13" i="2"/>
  <c r="E14" i="2"/>
  <c r="G10" i="3"/>
  <c r="E14" i="4"/>
  <c r="E15" i="4"/>
  <c r="L18" i="1"/>
  <c r="L19" i="1"/>
  <c r="L20" i="1"/>
  <c r="L21" i="1"/>
  <c r="L22" i="1"/>
  <c r="F13" i="2"/>
  <c r="F14" i="2"/>
  <c r="H10" i="3"/>
  <c r="F14" i="4"/>
  <c r="F15" i="4"/>
  <c r="M18" i="1"/>
  <c r="M19" i="1"/>
  <c r="M20" i="1"/>
  <c r="M21" i="1"/>
  <c r="M22" i="1"/>
  <c r="G13" i="2"/>
  <c r="G14" i="2"/>
  <c r="I10" i="3"/>
  <c r="G14" i="4"/>
  <c r="G15" i="4"/>
  <c r="D8" i="2"/>
  <c r="D9" i="2"/>
  <c r="D5" i="4"/>
  <c r="C8" i="2"/>
  <c r="C9" i="2"/>
  <c r="C5" i="4"/>
  <c r="B8" i="2"/>
  <c r="B9" i="2"/>
  <c r="B5" i="4"/>
  <c r="B6" i="4"/>
  <c r="C6" i="4"/>
  <c r="D6" i="4"/>
  <c r="E8" i="2"/>
  <c r="E9" i="2"/>
  <c r="E5" i="4"/>
  <c r="E6" i="4"/>
  <c r="F8" i="2"/>
  <c r="F9" i="2"/>
  <c r="F5" i="4"/>
  <c r="F6" i="4"/>
  <c r="G8" i="2"/>
  <c r="G9" i="2"/>
  <c r="G5" i="4"/>
  <c r="G6" i="4"/>
  <c r="I14" i="4"/>
  <c r="B17" i="4"/>
  <c r="E5" i="3"/>
  <c r="F5" i="3"/>
  <c r="G5" i="3"/>
  <c r="H5" i="3"/>
  <c r="I5" i="3"/>
  <c r="I5" i="4"/>
  <c r="B8" i="4"/>
  <c r="I15" i="5"/>
  <c r="B18" i="5"/>
  <c r="B5" i="5"/>
  <c r="C5" i="5"/>
  <c r="D5" i="5"/>
  <c r="E5" i="5"/>
  <c r="F5" i="5"/>
  <c r="G5" i="5"/>
  <c r="I5" i="5"/>
  <c r="B8" i="5"/>
  <c r="B16" i="5"/>
  <c r="C16" i="5"/>
  <c r="D16" i="5"/>
  <c r="E16" i="5"/>
  <c r="F16" i="5"/>
  <c r="G16" i="5"/>
  <c r="B6" i="5"/>
  <c r="C6" i="5"/>
  <c r="D6" i="5"/>
  <c r="E6" i="5"/>
  <c r="F6" i="5"/>
  <c r="G6" i="5"/>
  <c r="K10" i="3"/>
  <c r="D9" i="3"/>
  <c r="L10" i="3"/>
  <c r="D5" i="3"/>
  <c r="K5" i="3"/>
  <c r="D4" i="3"/>
  <c r="L5" i="3"/>
  <c r="A5" i="4"/>
  <c r="B3" i="4"/>
  <c r="C3" i="4"/>
  <c r="D3" i="4"/>
  <c r="E3" i="4"/>
  <c r="F3" i="4"/>
  <c r="G3" i="4"/>
  <c r="A4" i="4"/>
  <c r="B4" i="4"/>
  <c r="E4" i="3"/>
  <c r="C4" i="4"/>
  <c r="F4" i="3"/>
  <c r="D4" i="4"/>
  <c r="G4" i="3"/>
  <c r="E4" i="4"/>
  <c r="H4" i="3"/>
  <c r="F4" i="4"/>
  <c r="I4" i="3"/>
  <c r="G4" i="4"/>
  <c r="B12" i="4"/>
  <c r="C12" i="4"/>
  <c r="D12" i="4"/>
  <c r="E12" i="4"/>
  <c r="F12" i="4"/>
  <c r="G12" i="4"/>
  <c r="A13" i="4"/>
  <c r="B13" i="4"/>
  <c r="E9" i="3"/>
  <c r="C13" i="4"/>
  <c r="F9" i="3"/>
  <c r="D13" i="4"/>
  <c r="G9" i="3"/>
  <c r="E13" i="4"/>
  <c r="H9" i="3"/>
  <c r="F13" i="4"/>
  <c r="I9" i="3"/>
  <c r="G13" i="4"/>
  <c r="A14" i="4"/>
  <c r="A8" i="2"/>
  <c r="D13" i="3"/>
  <c r="E13" i="3"/>
  <c r="K13" i="3"/>
  <c r="B17" i="2"/>
  <c r="C17" i="2"/>
  <c r="I17" i="2"/>
  <c r="I14" i="2"/>
  <c r="I9" i="2"/>
  <c r="A13" i="2"/>
  <c r="E15" i="1"/>
  <c r="D15" i="1"/>
</calcChain>
</file>

<file path=xl/sharedStrings.xml><?xml version="1.0" encoding="utf-8"?>
<sst xmlns="http://schemas.openxmlformats.org/spreadsheetml/2006/main" count="96" uniqueCount="45">
  <si>
    <t>N</t>
  </si>
  <si>
    <t>N+1</t>
  </si>
  <si>
    <t>N+2</t>
  </si>
  <si>
    <t>N+3</t>
  </si>
  <si>
    <t>N+4</t>
  </si>
  <si>
    <t>Création société</t>
  </si>
  <si>
    <t>Création site Prestashop</t>
  </si>
  <si>
    <t>Infogérance du site</t>
  </si>
  <si>
    <t xml:space="preserve">        500,00 € par an</t>
  </si>
  <si>
    <t>hébergement du site</t>
  </si>
  <si>
    <t xml:space="preserve">        200,00 € par an</t>
  </si>
  <si>
    <t>Salaire Viktoria</t>
  </si>
  <si>
    <t xml:space="preserve">   25 000,00 € annuels, charges sociales comprises</t>
  </si>
  <si>
    <t>SEO</t>
  </si>
  <si>
    <t xml:space="preserve">     1 000,00 € par an</t>
  </si>
  <si>
    <t>SEA</t>
  </si>
  <si>
    <t xml:space="preserve">     6 000,00 € annuels</t>
  </si>
  <si>
    <t>Stocks de départ</t>
  </si>
  <si>
    <t xml:space="preserve">     1 000,00 € pour le fond de roulement</t>
  </si>
  <si>
    <t>Loyer</t>
  </si>
  <si>
    <t>Coûts logistiques expédition pulls</t>
  </si>
  <si>
    <t xml:space="preserve">     5,00 € par pull</t>
  </si>
  <si>
    <t xml:space="preserve">   1 500,00 € par mois</t>
  </si>
  <si>
    <t>Investissement</t>
  </si>
  <si>
    <t>Exploitation</t>
  </si>
  <si>
    <t>Coût des produits</t>
  </si>
  <si>
    <t>100 € par pull</t>
  </si>
  <si>
    <t>100 N</t>
  </si>
  <si>
    <t>5 N</t>
  </si>
  <si>
    <t>Hypothèse 1</t>
  </si>
  <si>
    <t>Hypothèse 2</t>
  </si>
  <si>
    <t>Ventes</t>
  </si>
  <si>
    <t>CA</t>
  </si>
  <si>
    <t>N+5</t>
  </si>
  <si>
    <t>Expédition</t>
  </si>
  <si>
    <t>Autres charges</t>
  </si>
  <si>
    <t>Actualisation Hypothèse 1</t>
  </si>
  <si>
    <t>Cash flows</t>
  </si>
  <si>
    <t>Cash flows actualisés</t>
  </si>
  <si>
    <t>Cash flows actualisés cumulés</t>
  </si>
  <si>
    <t>Taux 4 %</t>
  </si>
  <si>
    <t>Cumul</t>
  </si>
  <si>
    <t xml:space="preserve">Indice </t>
  </si>
  <si>
    <t>Indice</t>
  </si>
  <si>
    <t>Taux 24 %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</si>
</sst>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8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44" fontId="0" fillId="0" borderId="0" xfId="2" applyFont="1" applyAlignment="1">
      <alignment horizontal="center"/>
    </xf>
    <xf numFmtId="44" fontId="0" fillId="0" borderId="2" xfId="2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0" xfId="0" applyNumberFormat="1"/>
    <xf numFmtId="44" fontId="0" fillId="0" borderId="0" xfId="2" applyFont="1"/>
    <xf numFmtId="0" fontId="2" fillId="0" borderId="0" xfId="0" applyFont="1"/>
    <xf numFmtId="44" fontId="2" fillId="0" borderId="0" xfId="0" applyNumberFormat="1" applyFont="1"/>
    <xf numFmtId="2" fontId="0" fillId="0" borderId="0" xfId="0" applyNumberFormat="1"/>
    <xf numFmtId="165" fontId="0" fillId="0" borderId="0" xfId="1" applyNumberFormat="1" applyFont="1"/>
    <xf numFmtId="165" fontId="2" fillId="0" borderId="0" xfId="1" applyNumberFormat="1" applyFont="1"/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opLeftCell="E1" workbookViewId="0">
      <selection activeCell="G22" sqref="G22"/>
    </sheetView>
  </sheetViews>
  <sheetFormatPr baseColWidth="10" defaultRowHeight="14.4" x14ac:dyDescent="0.3"/>
  <cols>
    <col min="1" max="1" width="35.109375" customWidth="1"/>
    <col min="2" max="2" width="45.5546875" style="4" customWidth="1"/>
    <col min="4" max="5" width="15.88671875" style="2" customWidth="1"/>
    <col min="7" max="7" width="17.33203125" customWidth="1"/>
    <col min="8" max="13" width="13.5546875" customWidth="1"/>
  </cols>
  <sheetData>
    <row r="2" spans="1:13" x14ac:dyDescent="0.3">
      <c r="G2" t="s">
        <v>29</v>
      </c>
    </row>
    <row r="3" spans="1:13" x14ac:dyDescent="0.3">
      <c r="D3" s="2" t="s">
        <v>23</v>
      </c>
      <c r="E3" s="2" t="s">
        <v>24</v>
      </c>
      <c r="G3" s="7"/>
      <c r="H3" s="7" t="s">
        <v>0</v>
      </c>
      <c r="I3" s="7" t="s">
        <v>1</v>
      </c>
      <c r="J3" s="7" t="s">
        <v>2</v>
      </c>
      <c r="K3" s="7" t="s">
        <v>3</v>
      </c>
      <c r="L3" s="7" t="s">
        <v>4</v>
      </c>
      <c r="M3" s="13" t="s">
        <v>33</v>
      </c>
    </row>
    <row r="4" spans="1:13" x14ac:dyDescent="0.3">
      <c r="A4" s="3" t="s">
        <v>5</v>
      </c>
      <c r="B4" s="5">
        <v>1000</v>
      </c>
      <c r="D4" s="11">
        <v>1000</v>
      </c>
      <c r="E4" s="11"/>
      <c r="G4" s="8" t="s">
        <v>31</v>
      </c>
      <c r="H4" s="14"/>
      <c r="I4" s="7">
        <v>150</v>
      </c>
      <c r="J4" s="7">
        <v>200</v>
      </c>
      <c r="K4" s="7">
        <v>300</v>
      </c>
      <c r="L4" s="7">
        <v>300</v>
      </c>
      <c r="M4" s="7">
        <v>300</v>
      </c>
    </row>
    <row r="5" spans="1:13" x14ac:dyDescent="0.3">
      <c r="A5" s="3" t="s">
        <v>6</v>
      </c>
      <c r="B5" s="5">
        <v>15000</v>
      </c>
      <c r="D5" s="11">
        <v>15000</v>
      </c>
      <c r="E5" s="11"/>
      <c r="G5" s="9"/>
      <c r="H5" s="10"/>
      <c r="I5" s="10"/>
      <c r="J5" s="10"/>
      <c r="K5" s="10"/>
      <c r="L5" s="10"/>
    </row>
    <row r="6" spans="1:13" x14ac:dyDescent="0.3">
      <c r="A6" s="3" t="s">
        <v>7</v>
      </c>
      <c r="B6" s="6" t="s">
        <v>8</v>
      </c>
      <c r="D6" s="11"/>
      <c r="E6" s="11">
        <v>500</v>
      </c>
      <c r="G6" t="s">
        <v>23</v>
      </c>
      <c r="H6" s="20">
        <v>-17000</v>
      </c>
      <c r="I6" s="20"/>
      <c r="J6" s="20"/>
      <c r="K6" s="20"/>
      <c r="L6" s="20"/>
      <c r="M6" s="20"/>
    </row>
    <row r="7" spans="1:13" x14ac:dyDescent="0.3">
      <c r="A7" s="3" t="s">
        <v>9</v>
      </c>
      <c r="B7" s="6" t="s">
        <v>10</v>
      </c>
      <c r="D7" s="11"/>
      <c r="E7" s="11">
        <v>200</v>
      </c>
      <c r="G7" t="s">
        <v>32</v>
      </c>
      <c r="H7" s="20"/>
      <c r="I7" s="20">
        <f>I4*350</f>
        <v>52500</v>
      </c>
      <c r="J7" s="20">
        <f t="shared" ref="J7:M7" si="0">J4*350</f>
        <v>70000</v>
      </c>
      <c r="K7" s="20">
        <f t="shared" si="0"/>
        <v>105000</v>
      </c>
      <c r="L7" s="20">
        <f t="shared" si="0"/>
        <v>105000</v>
      </c>
      <c r="M7" s="20">
        <f t="shared" si="0"/>
        <v>105000</v>
      </c>
    </row>
    <row r="8" spans="1:13" x14ac:dyDescent="0.3">
      <c r="A8" s="3" t="s">
        <v>11</v>
      </c>
      <c r="B8" s="6" t="s">
        <v>12</v>
      </c>
      <c r="D8" s="11"/>
      <c r="E8" s="11">
        <v>25000</v>
      </c>
      <c r="G8" t="s">
        <v>25</v>
      </c>
      <c r="H8" s="20"/>
      <c r="I8" s="20">
        <f>I4*100</f>
        <v>15000</v>
      </c>
      <c r="J8" s="20">
        <f t="shared" ref="J8:M8" si="1">J4*100</f>
        <v>20000</v>
      </c>
      <c r="K8" s="20">
        <f t="shared" si="1"/>
        <v>30000</v>
      </c>
      <c r="L8" s="20">
        <f t="shared" si="1"/>
        <v>30000</v>
      </c>
      <c r="M8" s="20">
        <f t="shared" si="1"/>
        <v>30000</v>
      </c>
    </row>
    <row r="9" spans="1:13" x14ac:dyDescent="0.3">
      <c r="A9" s="3" t="s">
        <v>13</v>
      </c>
      <c r="B9" s="6" t="s">
        <v>14</v>
      </c>
      <c r="D9" s="11"/>
      <c r="E9" s="11">
        <v>1000</v>
      </c>
      <c r="G9" t="s">
        <v>34</v>
      </c>
      <c r="H9" s="20"/>
      <c r="I9" s="20">
        <f>5*I4</f>
        <v>750</v>
      </c>
      <c r="J9" s="20">
        <f t="shared" ref="J9:M9" si="2">5*J4</f>
        <v>1000</v>
      </c>
      <c r="K9" s="20">
        <f t="shared" si="2"/>
        <v>1500</v>
      </c>
      <c r="L9" s="20">
        <f t="shared" si="2"/>
        <v>1500</v>
      </c>
      <c r="M9" s="20">
        <f t="shared" si="2"/>
        <v>1500</v>
      </c>
    </row>
    <row r="10" spans="1:13" x14ac:dyDescent="0.3">
      <c r="A10" s="3" t="s">
        <v>15</v>
      </c>
      <c r="B10" s="6" t="s">
        <v>16</v>
      </c>
      <c r="D10" s="11"/>
      <c r="E10" s="11">
        <v>6000</v>
      </c>
      <c r="G10" t="s">
        <v>35</v>
      </c>
      <c r="H10" s="20"/>
      <c r="I10" s="20">
        <f>SUM($E6:$E12)</f>
        <v>50700</v>
      </c>
      <c r="J10" s="20">
        <f t="shared" ref="J10:M10" si="3">SUM($E6:$E12)</f>
        <v>50700</v>
      </c>
      <c r="K10" s="20">
        <f t="shared" si="3"/>
        <v>50700</v>
      </c>
      <c r="L10" s="20">
        <f t="shared" si="3"/>
        <v>50700</v>
      </c>
      <c r="M10" s="20">
        <f t="shared" si="3"/>
        <v>50700</v>
      </c>
    </row>
    <row r="11" spans="1:13" x14ac:dyDescent="0.3">
      <c r="A11" s="3" t="s">
        <v>17</v>
      </c>
      <c r="B11" s="6" t="s">
        <v>18</v>
      </c>
      <c r="D11" s="11">
        <v>1000</v>
      </c>
      <c r="E11" s="11"/>
      <c r="G11" s="17" t="s">
        <v>37</v>
      </c>
      <c r="H11" s="21">
        <f>H6</f>
        <v>-17000</v>
      </c>
      <c r="I11" s="21">
        <f>I7-I8-I9-I10</f>
        <v>-13950</v>
      </c>
      <c r="J11" s="21">
        <f t="shared" ref="J11:M11" si="4">J7-J8-J9-J10</f>
        <v>-1700</v>
      </c>
      <c r="K11" s="21">
        <f t="shared" si="4"/>
        <v>22800</v>
      </c>
      <c r="L11" s="21">
        <f t="shared" si="4"/>
        <v>22800</v>
      </c>
      <c r="M11" s="21">
        <f t="shared" si="4"/>
        <v>22800</v>
      </c>
    </row>
    <row r="12" spans="1:13" x14ac:dyDescent="0.3">
      <c r="A12" s="3" t="s">
        <v>19</v>
      </c>
      <c r="B12" s="6" t="s">
        <v>22</v>
      </c>
      <c r="D12" s="11"/>
      <c r="E12" s="11">
        <f>1500*12</f>
        <v>18000</v>
      </c>
    </row>
    <row r="13" spans="1:13" x14ac:dyDescent="0.3">
      <c r="A13" s="3" t="s">
        <v>25</v>
      </c>
      <c r="B13" s="6" t="s">
        <v>26</v>
      </c>
      <c r="D13" s="11"/>
      <c r="E13" s="11" t="s">
        <v>27</v>
      </c>
      <c r="G13" t="s">
        <v>30</v>
      </c>
    </row>
    <row r="14" spans="1:13" x14ac:dyDescent="0.3">
      <c r="A14" s="3" t="s">
        <v>20</v>
      </c>
      <c r="B14" s="6" t="s">
        <v>21</v>
      </c>
      <c r="D14" s="11"/>
      <c r="E14" s="11" t="s">
        <v>28</v>
      </c>
      <c r="G14" s="7"/>
      <c r="H14" s="7" t="s">
        <v>0</v>
      </c>
      <c r="I14" s="7" t="s">
        <v>1</v>
      </c>
      <c r="J14" s="7" t="s">
        <v>2</v>
      </c>
      <c r="K14" s="7" t="s">
        <v>3</v>
      </c>
      <c r="L14" s="7" t="s">
        <v>4</v>
      </c>
      <c r="M14" s="13" t="s">
        <v>33</v>
      </c>
    </row>
    <row r="15" spans="1:13" x14ac:dyDescent="0.3">
      <c r="D15" s="12">
        <f>SUM(D4:D14)</f>
        <v>17000</v>
      </c>
      <c r="E15" s="12">
        <f>SUM(E6:E12)</f>
        <v>50700</v>
      </c>
      <c r="G15" s="8" t="s">
        <v>31</v>
      </c>
      <c r="H15" s="14"/>
      <c r="I15" s="7">
        <v>300</v>
      </c>
      <c r="J15" s="7">
        <v>300</v>
      </c>
      <c r="K15" s="7">
        <v>300</v>
      </c>
      <c r="L15" s="7">
        <v>300</v>
      </c>
      <c r="M15" s="7">
        <v>300</v>
      </c>
    </row>
    <row r="16" spans="1:13" x14ac:dyDescent="0.3">
      <c r="G16" s="9"/>
      <c r="H16" s="10"/>
      <c r="I16" s="10"/>
      <c r="J16" s="10"/>
      <c r="K16" s="10"/>
      <c r="L16" s="10"/>
    </row>
    <row r="17" spans="6:13" x14ac:dyDescent="0.3">
      <c r="G17" t="s">
        <v>23</v>
      </c>
      <c r="H17" s="16">
        <v>-17000</v>
      </c>
      <c r="I17" s="16"/>
      <c r="J17" s="16"/>
      <c r="K17" s="16"/>
      <c r="L17" s="16"/>
      <c r="M17" s="16"/>
    </row>
    <row r="18" spans="6:13" x14ac:dyDescent="0.3">
      <c r="G18" t="s">
        <v>32</v>
      </c>
      <c r="H18" s="16"/>
      <c r="I18" s="16">
        <f>I15*350</f>
        <v>105000</v>
      </c>
      <c r="J18" s="16">
        <f t="shared" ref="J18:M18" si="5">J15*350</f>
        <v>105000</v>
      </c>
      <c r="K18" s="16">
        <f t="shared" si="5"/>
        <v>105000</v>
      </c>
      <c r="L18" s="16">
        <f t="shared" si="5"/>
        <v>105000</v>
      </c>
      <c r="M18" s="16">
        <f t="shared" si="5"/>
        <v>105000</v>
      </c>
    </row>
    <row r="19" spans="6:13" x14ac:dyDescent="0.3">
      <c r="G19" t="s">
        <v>25</v>
      </c>
      <c r="H19" s="16"/>
      <c r="I19" s="16">
        <f>I15*100</f>
        <v>30000</v>
      </c>
      <c r="J19" s="16">
        <f t="shared" ref="J19:M19" si="6">J15*100</f>
        <v>30000</v>
      </c>
      <c r="K19" s="16">
        <f t="shared" si="6"/>
        <v>30000</v>
      </c>
      <c r="L19" s="16">
        <f t="shared" si="6"/>
        <v>30000</v>
      </c>
      <c r="M19" s="16">
        <f t="shared" si="6"/>
        <v>30000</v>
      </c>
    </row>
    <row r="20" spans="6:13" x14ac:dyDescent="0.3">
      <c r="G20" t="s">
        <v>34</v>
      </c>
      <c r="H20" s="16"/>
      <c r="I20" s="16">
        <f>5*I15</f>
        <v>1500</v>
      </c>
      <c r="J20" s="16">
        <f t="shared" ref="J20:M20" si="7">5*J15</f>
        <v>1500</v>
      </c>
      <c r="K20" s="16">
        <f t="shared" si="7"/>
        <v>1500</v>
      </c>
      <c r="L20" s="16">
        <f t="shared" si="7"/>
        <v>1500</v>
      </c>
      <c r="M20" s="16">
        <f t="shared" si="7"/>
        <v>1500</v>
      </c>
    </row>
    <row r="21" spans="6:13" x14ac:dyDescent="0.3">
      <c r="G21" t="s">
        <v>35</v>
      </c>
      <c r="I21" s="15">
        <f>SUM($E6:$E12)</f>
        <v>50700</v>
      </c>
      <c r="J21" s="15">
        <f t="shared" ref="J21:M21" si="8">SUM($E6:$E12)</f>
        <v>50700</v>
      </c>
      <c r="K21" s="15">
        <f t="shared" si="8"/>
        <v>50700</v>
      </c>
      <c r="L21" s="15">
        <f t="shared" si="8"/>
        <v>50700</v>
      </c>
      <c r="M21" s="15">
        <f t="shared" si="8"/>
        <v>50700</v>
      </c>
    </row>
    <row r="22" spans="6:13" x14ac:dyDescent="0.3">
      <c r="G22" s="17" t="s">
        <v>37</v>
      </c>
      <c r="H22" s="18">
        <f>H17</f>
        <v>-17000</v>
      </c>
      <c r="I22" s="18">
        <f>I18-I19-I20-I21</f>
        <v>22800</v>
      </c>
      <c r="J22" s="18">
        <f t="shared" ref="J22:M22" si="9">J18-J19-J20-J21</f>
        <v>22800</v>
      </c>
      <c r="K22" s="18">
        <f t="shared" si="9"/>
        <v>22800</v>
      </c>
      <c r="L22" s="18">
        <f t="shared" si="9"/>
        <v>22800</v>
      </c>
      <c r="M22" s="18">
        <f t="shared" si="9"/>
        <v>22800</v>
      </c>
    </row>
    <row r="26" spans="6:13" x14ac:dyDescent="0.3">
      <c r="F26">
        <v>0.1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7"/>
  <sheetViews>
    <sheetView topLeftCell="A5" workbookViewId="0">
      <selection activeCell="G15" sqref="G15"/>
    </sheetView>
  </sheetViews>
  <sheetFormatPr baseColWidth="10" defaultRowHeight="14.4" x14ac:dyDescent="0.3"/>
  <cols>
    <col min="1" max="1" width="22.109375" customWidth="1"/>
  </cols>
  <sheetData>
    <row r="2" spans="1:9" x14ac:dyDescent="0.3">
      <c r="A2" s="1"/>
    </row>
    <row r="3" spans="1:9" x14ac:dyDescent="0.3">
      <c r="A3" s="1"/>
    </row>
    <row r="4" spans="1:9" x14ac:dyDescent="0.3">
      <c r="A4" s="1"/>
    </row>
    <row r="6" spans="1:9" x14ac:dyDescent="0.3">
      <c r="A6" t="s">
        <v>36</v>
      </c>
    </row>
    <row r="7" spans="1:9" x14ac:dyDescent="0.3">
      <c r="B7">
        <v>0</v>
      </c>
      <c r="C7">
        <v>1</v>
      </c>
      <c r="D7">
        <v>2</v>
      </c>
      <c r="E7">
        <v>3</v>
      </c>
      <c r="F7">
        <v>4</v>
      </c>
      <c r="G7">
        <v>5</v>
      </c>
    </row>
    <row r="8" spans="1:9" x14ac:dyDescent="0.3">
      <c r="A8" t="str">
        <f>'Mission 1 - Question 2'!G11</f>
        <v>Cash flows</v>
      </c>
      <c r="B8">
        <f>'Mission 1 - Question 2'!H11</f>
        <v>-17000</v>
      </c>
      <c r="C8">
        <f>'Mission 1 - Question 2'!I11</f>
        <v>-13950</v>
      </c>
      <c r="D8">
        <f>'Mission 1 - Question 2'!J11</f>
        <v>-1700</v>
      </c>
      <c r="E8">
        <f>'Mission 1 - Question 2'!K11</f>
        <v>22800</v>
      </c>
      <c r="F8">
        <f>'Mission 1 - Question 2'!L11</f>
        <v>22800</v>
      </c>
      <c r="G8">
        <f>'Mission 1 - Question 2'!M11</f>
        <v>22800</v>
      </c>
    </row>
    <row r="9" spans="1:9" x14ac:dyDescent="0.3">
      <c r="A9" t="s">
        <v>38</v>
      </c>
      <c r="B9" s="19">
        <f>B8*POWER(1+'Mission 1 - Question 2'!$F$26,-B7)</f>
        <v>-17000</v>
      </c>
      <c r="C9" s="19">
        <f>C8*POWER(1.1,-C7)</f>
        <v>-12681.818181818182</v>
      </c>
      <c r="D9" s="19">
        <f t="shared" ref="D9:G9" si="0">D8*POWER(1.1,-D7)</f>
        <v>-1404.9586776859503</v>
      </c>
      <c r="E9" s="19">
        <f t="shared" si="0"/>
        <v>17129.977460555969</v>
      </c>
      <c r="F9" s="19">
        <f t="shared" si="0"/>
        <v>15572.706782323608</v>
      </c>
      <c r="G9" s="19">
        <f t="shared" si="0"/>
        <v>14157.006165748733</v>
      </c>
      <c r="I9" s="19">
        <f>SUM(B9:G9)</f>
        <v>15772.913549124176</v>
      </c>
    </row>
    <row r="11" spans="1:9" x14ac:dyDescent="0.3">
      <c r="A11" t="s">
        <v>36</v>
      </c>
    </row>
    <row r="12" spans="1:9" x14ac:dyDescent="0.3"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</row>
    <row r="13" spans="1:9" x14ac:dyDescent="0.3">
      <c r="A13" t="str">
        <f>'Mission 1 - Question 2'!G22</f>
        <v>Cash flows</v>
      </c>
      <c r="B13">
        <f>'Mission 1 - Question 2'!H22</f>
        <v>-17000</v>
      </c>
      <c r="C13">
        <f>'Mission 1 - Question 2'!I22</f>
        <v>22800</v>
      </c>
      <c r="D13">
        <f>'Mission 1 - Question 2'!J22</f>
        <v>22800</v>
      </c>
      <c r="E13">
        <f>'Mission 1 - Question 2'!K22</f>
        <v>22800</v>
      </c>
      <c r="F13">
        <f>'Mission 1 - Question 2'!L22</f>
        <v>22800</v>
      </c>
      <c r="G13">
        <f>'Mission 1 - Question 2'!M22</f>
        <v>22800</v>
      </c>
    </row>
    <row r="14" spans="1:9" x14ac:dyDescent="0.3">
      <c r="A14" t="s">
        <v>38</v>
      </c>
      <c r="B14" s="19">
        <f>B13*POWER(1+'Mission 1 - Question 2'!$F$26,-B12)</f>
        <v>-17000</v>
      </c>
      <c r="C14" s="19">
        <f>C13*POWER(1.1,-C12)</f>
        <v>20727.272727272728</v>
      </c>
      <c r="D14" s="19">
        <f t="shared" ref="D14:G14" si="1">D13*POWER(1.1,-D12)</f>
        <v>18842.975206611569</v>
      </c>
      <c r="E14" s="19">
        <f t="shared" si="1"/>
        <v>17129.977460555969</v>
      </c>
      <c r="F14" s="19">
        <f t="shared" si="1"/>
        <v>15572.706782323608</v>
      </c>
      <c r="G14" s="19">
        <f t="shared" si="1"/>
        <v>14157.006165748733</v>
      </c>
      <c r="I14" s="19">
        <f>SUM(B14:G14)</f>
        <v>69429.9383425126</v>
      </c>
    </row>
    <row r="17" spans="2:9" x14ac:dyDescent="0.3">
      <c r="B17" s="19">
        <f>B14</f>
        <v>-17000</v>
      </c>
      <c r="C17">
        <f>C13</f>
        <v>22800</v>
      </c>
      <c r="D17">
        <v>3.7907999999999999</v>
      </c>
      <c r="I17">
        <f>B17+(C17*D17)</f>
        <v>69430.240000000005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C1" workbookViewId="0">
      <selection activeCell="C2" sqref="C2"/>
    </sheetView>
  </sheetViews>
  <sheetFormatPr baseColWidth="10" defaultRowHeight="14.4" x14ac:dyDescent="0.3"/>
  <cols>
    <col min="1" max="1" width="35.109375" customWidth="1"/>
    <col min="2" max="2" width="45.5546875" style="4" customWidth="1"/>
    <col min="3" max="3" width="23.33203125" customWidth="1"/>
    <col min="4" max="5" width="15.88671875" style="2" customWidth="1"/>
    <col min="7" max="7" width="17.33203125" customWidth="1"/>
    <col min="8" max="11" width="13.5546875" customWidth="1"/>
    <col min="12" max="12" width="11.88671875" bestFit="1" customWidth="1"/>
  </cols>
  <sheetData>
    <row r="1" spans="1:12" x14ac:dyDescent="0.3">
      <c r="D1"/>
      <c r="E1"/>
    </row>
    <row r="2" spans="1:12" x14ac:dyDescent="0.3">
      <c r="C2" t="s">
        <v>36</v>
      </c>
      <c r="D2"/>
      <c r="E2"/>
    </row>
    <row r="3" spans="1:12" x14ac:dyDescent="0.3">
      <c r="D3">
        <v>0</v>
      </c>
      <c r="E3">
        <v>1</v>
      </c>
      <c r="F3">
        <v>2</v>
      </c>
      <c r="G3">
        <v>3</v>
      </c>
      <c r="H3">
        <v>4</v>
      </c>
      <c r="I3">
        <v>5</v>
      </c>
    </row>
    <row r="4" spans="1:12" x14ac:dyDescent="0.3">
      <c r="A4" s="3" t="s">
        <v>5</v>
      </c>
      <c r="B4" s="5">
        <v>1000</v>
      </c>
      <c r="C4" t="s">
        <v>37</v>
      </c>
      <c r="D4">
        <f>'Mission 2 - Question 3'!B8</f>
        <v>-17000</v>
      </c>
      <c r="E4">
        <f>'Mission 2 - Question 3'!C8</f>
        <v>-13950</v>
      </c>
      <c r="F4">
        <f>'Mission 2 - Question 3'!D8</f>
        <v>-1700</v>
      </c>
      <c r="G4">
        <f>'Mission 2 - Question 3'!E8</f>
        <v>22800</v>
      </c>
      <c r="H4">
        <f>'Mission 2 - Question 3'!F8</f>
        <v>22800</v>
      </c>
      <c r="I4">
        <f>'Mission 2 - Question 3'!G8</f>
        <v>22800</v>
      </c>
    </row>
    <row r="5" spans="1:12" x14ac:dyDescent="0.3">
      <c r="A5" s="3" t="s">
        <v>6</v>
      </c>
      <c r="B5" s="5">
        <v>15000</v>
      </c>
      <c r="C5" t="s">
        <v>38</v>
      </c>
      <c r="D5">
        <f>'Mission 2 - Question 3'!B9</f>
        <v>-17000</v>
      </c>
      <c r="E5" s="19">
        <f>'Mission 2 - Question 3'!C9</f>
        <v>-12681.818181818182</v>
      </c>
      <c r="F5" s="19">
        <f>'Mission 2 - Question 3'!D9</f>
        <v>-1404.9586776859503</v>
      </c>
      <c r="G5" s="19">
        <f>'Mission 2 - Question 3'!E9</f>
        <v>17129.977460555969</v>
      </c>
      <c r="H5" s="19">
        <f>'Mission 2 - Question 3'!F9</f>
        <v>15572.706782323608</v>
      </c>
      <c r="I5" s="19">
        <f>'Mission 2 - Question 3'!G9</f>
        <v>14157.006165748733</v>
      </c>
      <c r="K5" s="19">
        <f>SUM(D5:I5)</f>
        <v>15772.913549124176</v>
      </c>
      <c r="L5">
        <f>K5/D4</f>
        <v>-0.92781844406612801</v>
      </c>
    </row>
    <row r="6" spans="1:12" x14ac:dyDescent="0.3">
      <c r="A6" s="3" t="s">
        <v>7</v>
      </c>
      <c r="B6" s="6" t="s">
        <v>8</v>
      </c>
      <c r="D6"/>
      <c r="E6"/>
    </row>
    <row r="7" spans="1:12" x14ac:dyDescent="0.3">
      <c r="A7" s="3" t="s">
        <v>9</v>
      </c>
      <c r="B7" s="6" t="s">
        <v>10</v>
      </c>
      <c r="C7" t="s">
        <v>36</v>
      </c>
      <c r="D7"/>
      <c r="E7"/>
    </row>
    <row r="8" spans="1:12" x14ac:dyDescent="0.3">
      <c r="A8" s="3" t="s">
        <v>11</v>
      </c>
      <c r="B8" s="6" t="s">
        <v>12</v>
      </c>
      <c r="D8">
        <v>0</v>
      </c>
      <c r="E8">
        <v>1</v>
      </c>
      <c r="F8">
        <v>2</v>
      </c>
      <c r="G8">
        <v>3</v>
      </c>
      <c r="H8">
        <v>4</v>
      </c>
      <c r="I8">
        <v>5</v>
      </c>
    </row>
    <row r="9" spans="1:12" x14ac:dyDescent="0.3">
      <c r="A9" s="3" t="s">
        <v>13</v>
      </c>
      <c r="B9" s="6" t="s">
        <v>14</v>
      </c>
      <c r="C9" t="s">
        <v>37</v>
      </c>
      <c r="D9">
        <f>'Mission 2 - Question 3'!B13</f>
        <v>-17000</v>
      </c>
      <c r="E9">
        <f>'Mission 2 - Question 3'!C13</f>
        <v>22800</v>
      </c>
      <c r="F9">
        <f>'Mission 2 - Question 3'!D13</f>
        <v>22800</v>
      </c>
      <c r="G9">
        <f>'Mission 2 - Question 3'!E13</f>
        <v>22800</v>
      </c>
      <c r="H9">
        <f>'Mission 2 - Question 3'!F13</f>
        <v>22800</v>
      </c>
      <c r="I9">
        <f>'Mission 2 - Question 3'!G13</f>
        <v>22800</v>
      </c>
    </row>
    <row r="10" spans="1:12" x14ac:dyDescent="0.3">
      <c r="A10" s="3" t="s">
        <v>15</v>
      </c>
      <c r="B10" s="6" t="s">
        <v>16</v>
      </c>
      <c r="C10" t="s">
        <v>38</v>
      </c>
      <c r="D10">
        <f>'Mission 2 - Question 3'!B14</f>
        <v>-17000</v>
      </c>
      <c r="E10" s="19">
        <f>'Mission 2 - Question 3'!C14</f>
        <v>20727.272727272728</v>
      </c>
      <c r="F10" s="19">
        <f>'Mission 2 - Question 3'!D14</f>
        <v>18842.975206611569</v>
      </c>
      <c r="G10" s="19">
        <f>'Mission 2 - Question 3'!E14</f>
        <v>17129.977460555969</v>
      </c>
      <c r="H10" s="19">
        <f>'Mission 2 - Question 3'!F14</f>
        <v>15572.706782323608</v>
      </c>
      <c r="I10" s="19">
        <f>'Mission 2 - Question 3'!G14</f>
        <v>14157.006165748733</v>
      </c>
      <c r="K10" s="19">
        <f>SUM(D10:I10)</f>
        <v>69429.9383425126</v>
      </c>
      <c r="L10">
        <f>K10/D9</f>
        <v>-4.0841140201478003</v>
      </c>
    </row>
    <row r="11" spans="1:12" x14ac:dyDescent="0.3">
      <c r="A11" s="3" t="s">
        <v>17</v>
      </c>
      <c r="B11" s="6" t="s">
        <v>18</v>
      </c>
      <c r="D11"/>
      <c r="E11"/>
      <c r="L11" s="15"/>
    </row>
    <row r="12" spans="1:12" x14ac:dyDescent="0.3">
      <c r="A12" s="3" t="s">
        <v>19</v>
      </c>
      <c r="B12" s="6" t="s">
        <v>22</v>
      </c>
      <c r="D12"/>
      <c r="E12"/>
    </row>
    <row r="13" spans="1:12" x14ac:dyDescent="0.3">
      <c r="A13" s="3" t="s">
        <v>25</v>
      </c>
      <c r="B13" s="6" t="s">
        <v>26</v>
      </c>
      <c r="D13" s="19">
        <f>D10</f>
        <v>-17000</v>
      </c>
      <c r="E13">
        <f>E9</f>
        <v>22800</v>
      </c>
      <c r="F13">
        <v>3.7907999999999999</v>
      </c>
      <c r="K13">
        <f>D13+(E13*F13)</f>
        <v>69430.240000000005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7"/>
  <sheetViews>
    <sheetView workbookViewId="0">
      <selection activeCell="A11" sqref="A11"/>
    </sheetView>
  </sheetViews>
  <sheetFormatPr baseColWidth="10" defaultRowHeight="14.4" x14ac:dyDescent="0.3"/>
  <cols>
    <col min="1" max="1" width="28.109375" customWidth="1"/>
    <col min="2" max="2" width="12.33203125" bestFit="1" customWidth="1"/>
    <col min="3" max="7" width="11.5546875" bestFit="1" customWidth="1"/>
  </cols>
  <sheetData>
    <row r="2" spans="1:9" x14ac:dyDescent="0.3">
      <c r="A2" t="s">
        <v>29</v>
      </c>
    </row>
    <row r="3" spans="1:9" x14ac:dyDescent="0.3">
      <c r="B3">
        <f>'Mission 3 - Question 4'!D3</f>
        <v>0</v>
      </c>
      <c r="C3">
        <f>'Mission 3 - Question 4'!E3</f>
        <v>1</v>
      </c>
      <c r="D3">
        <f>'Mission 3 - Question 4'!F3</f>
        <v>2</v>
      </c>
      <c r="E3">
        <f>'Mission 3 - Question 4'!G3</f>
        <v>3</v>
      </c>
      <c r="F3">
        <f>'Mission 3 - Question 4'!H3</f>
        <v>4</v>
      </c>
      <c r="G3">
        <f>'Mission 3 - Question 4'!I3</f>
        <v>5</v>
      </c>
    </row>
    <row r="4" spans="1:9" x14ac:dyDescent="0.3">
      <c r="A4" t="str">
        <f>'Mission 3 - Question 4'!C4</f>
        <v>Cash flows</v>
      </c>
      <c r="B4">
        <f>'Mission 3 - Question 4'!D4</f>
        <v>-17000</v>
      </c>
      <c r="C4">
        <f>'Mission 3 - Question 4'!E4</f>
        <v>-13950</v>
      </c>
      <c r="D4">
        <f>'Mission 3 - Question 4'!F4</f>
        <v>-1700</v>
      </c>
      <c r="E4">
        <f>'Mission 3 - Question 4'!G4</f>
        <v>22800</v>
      </c>
      <c r="F4">
        <f>'Mission 3 - Question 4'!H4</f>
        <v>22800</v>
      </c>
      <c r="G4">
        <f>'Mission 3 - Question 4'!I4</f>
        <v>22800</v>
      </c>
    </row>
    <row r="5" spans="1:9" x14ac:dyDescent="0.3">
      <c r="A5" t="str">
        <f>'Mission 3 - Question 4'!C5</f>
        <v>Cash flows actualisés</v>
      </c>
      <c r="B5" s="19">
        <f>'Mission 2 - Question 3'!B9</f>
        <v>-17000</v>
      </c>
      <c r="C5" s="19">
        <f>'Mission 2 - Question 3'!C9</f>
        <v>-12681.818181818182</v>
      </c>
      <c r="D5" s="19">
        <f>'Mission 2 - Question 3'!D9</f>
        <v>-1404.9586776859503</v>
      </c>
      <c r="E5" s="19">
        <f>'Mission 2 - Question 3'!E9</f>
        <v>17129.977460555969</v>
      </c>
      <c r="F5" s="19">
        <f>'Mission 2 - Question 3'!F9</f>
        <v>15572.706782323608</v>
      </c>
      <c r="G5" s="19">
        <f>'Mission 2 - Question 3'!G9</f>
        <v>14157.006165748733</v>
      </c>
      <c r="I5" s="19">
        <f>SUM(B5:G5)</f>
        <v>15772.913549124176</v>
      </c>
    </row>
    <row r="6" spans="1:9" x14ac:dyDescent="0.3">
      <c r="A6" t="s">
        <v>39</v>
      </c>
      <c r="B6" s="19">
        <f>B5</f>
        <v>-17000</v>
      </c>
      <c r="C6" s="19">
        <f>C5+B6</f>
        <v>-29681.818181818184</v>
      </c>
      <c r="D6" s="19">
        <f t="shared" ref="D6:G6" si="0">D5+C6</f>
        <v>-31086.776859504134</v>
      </c>
      <c r="E6" s="19">
        <f t="shared" si="0"/>
        <v>-13956.799398948166</v>
      </c>
      <c r="F6" s="19">
        <f t="shared" si="0"/>
        <v>1615.9073833754428</v>
      </c>
      <c r="G6" s="19">
        <f t="shared" si="0"/>
        <v>15772.913549124176</v>
      </c>
    </row>
    <row r="7" spans="1:9" x14ac:dyDescent="0.3">
      <c r="B7" s="19"/>
      <c r="C7" s="19"/>
      <c r="D7" s="19"/>
      <c r="E7" s="19"/>
      <c r="F7" s="19"/>
      <c r="G7" s="19"/>
    </row>
    <row r="8" spans="1:9" x14ac:dyDescent="0.3">
      <c r="A8" t="s">
        <v>43</v>
      </c>
      <c r="B8" s="19">
        <f>I5/-B5</f>
        <v>0.92781844406612801</v>
      </c>
      <c r="C8" s="19"/>
      <c r="D8" s="19"/>
      <c r="E8" s="19"/>
      <c r="F8" s="19"/>
      <c r="G8" s="19"/>
    </row>
    <row r="9" spans="1:9" x14ac:dyDescent="0.3">
      <c r="B9" s="19"/>
      <c r="C9" s="19"/>
      <c r="D9" s="19"/>
      <c r="E9" s="19"/>
      <c r="F9" s="19"/>
      <c r="G9" s="19"/>
    </row>
    <row r="10" spans="1:9" x14ac:dyDescent="0.3">
      <c r="B10" s="19"/>
      <c r="C10" s="19"/>
      <c r="D10" s="19"/>
      <c r="E10" s="19"/>
      <c r="F10" s="19"/>
      <c r="G10" s="19"/>
    </row>
    <row r="11" spans="1:9" x14ac:dyDescent="0.3">
      <c r="A11" t="s">
        <v>30</v>
      </c>
    </row>
    <row r="12" spans="1:9" x14ac:dyDescent="0.3">
      <c r="B12">
        <f>'Mission 3 - Question 4'!D8</f>
        <v>0</v>
      </c>
      <c r="C12">
        <f>'Mission 3 - Question 4'!E8</f>
        <v>1</v>
      </c>
      <c r="D12">
        <f>'Mission 3 - Question 4'!F8</f>
        <v>2</v>
      </c>
      <c r="E12">
        <f>'Mission 3 - Question 4'!G8</f>
        <v>3</v>
      </c>
      <c r="F12">
        <f>'Mission 3 - Question 4'!H8</f>
        <v>4</v>
      </c>
      <c r="G12">
        <f>'Mission 3 - Question 4'!I8</f>
        <v>5</v>
      </c>
    </row>
    <row r="13" spans="1:9" x14ac:dyDescent="0.3">
      <c r="A13" t="str">
        <f>'Mission 3 - Question 4'!C9</f>
        <v>Cash flows</v>
      </c>
      <c r="B13" s="19">
        <f>'Mission 3 - Question 4'!D9</f>
        <v>-17000</v>
      </c>
      <c r="C13" s="19">
        <f>'Mission 3 - Question 4'!E9</f>
        <v>22800</v>
      </c>
      <c r="D13" s="19">
        <f>'Mission 3 - Question 4'!F9</f>
        <v>22800</v>
      </c>
      <c r="E13" s="19">
        <f>'Mission 3 - Question 4'!G9</f>
        <v>22800</v>
      </c>
      <c r="F13" s="19">
        <f>'Mission 3 - Question 4'!H9</f>
        <v>22800</v>
      </c>
      <c r="G13" s="19">
        <f>'Mission 3 - Question 4'!I9</f>
        <v>22800</v>
      </c>
    </row>
    <row r="14" spans="1:9" x14ac:dyDescent="0.3">
      <c r="A14" t="str">
        <f>'Mission 3 - Question 4'!C10</f>
        <v>Cash flows actualisés</v>
      </c>
      <c r="B14" s="19">
        <f>'Mission 3 - Question 4'!D10</f>
        <v>-17000</v>
      </c>
      <c r="C14" s="19">
        <f>'Mission 3 - Question 4'!E10</f>
        <v>20727.272727272728</v>
      </c>
      <c r="D14" s="19">
        <f>'Mission 3 - Question 4'!F10</f>
        <v>18842.975206611569</v>
      </c>
      <c r="E14" s="19">
        <f>'Mission 3 - Question 4'!G10</f>
        <v>17129.977460555969</v>
      </c>
      <c r="F14" s="19">
        <f>'Mission 3 - Question 4'!H10</f>
        <v>15572.706782323608</v>
      </c>
      <c r="G14" s="19">
        <f>'Mission 3 - Question 4'!I10</f>
        <v>14157.006165748733</v>
      </c>
      <c r="I14" s="19">
        <f>SUM(B14:G14)</f>
        <v>69429.9383425126</v>
      </c>
    </row>
    <row r="15" spans="1:9" x14ac:dyDescent="0.3">
      <c r="A15" t="s">
        <v>39</v>
      </c>
      <c r="B15" s="19">
        <f>B14</f>
        <v>-17000</v>
      </c>
      <c r="C15" s="19">
        <f>C14+B15</f>
        <v>3727.2727272727279</v>
      </c>
      <c r="D15" s="19">
        <f t="shared" ref="D15" si="1">D14+C15</f>
        <v>22570.247933884297</v>
      </c>
      <c r="E15" s="19">
        <f t="shared" ref="E15" si="2">E14+D15</f>
        <v>39700.225394440262</v>
      </c>
      <c r="F15" s="19">
        <f t="shared" ref="F15" si="3">F14+E15</f>
        <v>55272.932176763868</v>
      </c>
      <c r="G15" s="19">
        <f t="shared" ref="G15" si="4">G14+F15</f>
        <v>69429.9383425126</v>
      </c>
    </row>
    <row r="17" spans="1:2" x14ac:dyDescent="0.3">
      <c r="A17" t="s">
        <v>43</v>
      </c>
      <c r="B17" s="19">
        <f>I14/-B14</f>
        <v>4.0841140201478003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8"/>
  <sheetViews>
    <sheetView tabSelected="1" workbookViewId="0">
      <selection activeCell="B24" sqref="B24"/>
    </sheetView>
  </sheetViews>
  <sheetFormatPr baseColWidth="10" defaultRowHeight="14.4" x14ac:dyDescent="0.3"/>
  <cols>
    <col min="1" max="1" width="23.88671875" customWidth="1"/>
  </cols>
  <sheetData>
    <row r="2" spans="1:9" x14ac:dyDescent="0.3">
      <c r="A2" t="s">
        <v>40</v>
      </c>
    </row>
    <row r="3" spans="1:9" x14ac:dyDescent="0.3">
      <c r="B3">
        <v>0</v>
      </c>
      <c r="C3">
        <v>1</v>
      </c>
      <c r="D3">
        <v>2</v>
      </c>
      <c r="E3">
        <v>3</v>
      </c>
      <c r="F3">
        <v>4</v>
      </c>
      <c r="G3">
        <v>5</v>
      </c>
    </row>
    <row r="4" spans="1:9" x14ac:dyDescent="0.3">
      <c r="A4" t="s">
        <v>37</v>
      </c>
      <c r="B4">
        <f>'Mission 1 - Question 2'!H11</f>
        <v>-17000</v>
      </c>
      <c r="C4">
        <f>'Mission 1 - Question 2'!I11</f>
        <v>-13950</v>
      </c>
      <c r="D4">
        <f>'Mission 1 - Question 2'!J11</f>
        <v>-1700</v>
      </c>
      <c r="E4">
        <f>'Mission 1 - Question 2'!K11</f>
        <v>22800</v>
      </c>
      <c r="F4">
        <f>'Mission 1 - Question 2'!L11</f>
        <v>22800</v>
      </c>
      <c r="G4">
        <f>'Mission 1 - Question 2'!M11</f>
        <v>22800</v>
      </c>
    </row>
    <row r="5" spans="1:9" x14ac:dyDescent="0.3">
      <c r="A5" t="s">
        <v>38</v>
      </c>
      <c r="B5" s="19">
        <f>B4*POWER(1.04,-B3)</f>
        <v>-17000</v>
      </c>
      <c r="C5" s="19">
        <f t="shared" ref="C5:G5" si="0">C4*POWER(1.04,-C3)</f>
        <v>-13413.461538461537</v>
      </c>
      <c r="D5" s="19">
        <f t="shared" si="0"/>
        <v>-1571.7455621301774</v>
      </c>
      <c r="E5" s="19">
        <f t="shared" si="0"/>
        <v>20269.11697769686</v>
      </c>
      <c r="F5" s="19">
        <f t="shared" si="0"/>
        <v>19489.535555477745</v>
      </c>
      <c r="G5" s="19">
        <f t="shared" si="0"/>
        <v>18739.938034113216</v>
      </c>
      <c r="I5" s="19">
        <f>SUM(B5:G5)</f>
        <v>26513.383466696105</v>
      </c>
    </row>
    <row r="6" spans="1:9" x14ac:dyDescent="0.3">
      <c r="A6" t="s">
        <v>41</v>
      </c>
      <c r="B6" s="19">
        <f>B5</f>
        <v>-17000</v>
      </c>
      <c r="C6" s="19">
        <f>C5+B6</f>
        <v>-30413.461538461539</v>
      </c>
      <c r="D6" s="19">
        <f t="shared" ref="D6:G6" si="1">D5+C6</f>
        <v>-31985.207100591717</v>
      </c>
      <c r="E6" s="19">
        <f t="shared" si="1"/>
        <v>-11716.090122894857</v>
      </c>
      <c r="F6" s="19">
        <f t="shared" si="1"/>
        <v>7773.4454325828883</v>
      </c>
      <c r="G6" s="19">
        <f t="shared" si="1"/>
        <v>26513.383466696105</v>
      </c>
    </row>
    <row r="7" spans="1:9" x14ac:dyDescent="0.3">
      <c r="B7" s="19"/>
      <c r="C7" s="19"/>
      <c r="D7" s="19"/>
      <c r="E7" s="19"/>
      <c r="F7" s="19"/>
      <c r="G7" s="19"/>
    </row>
    <row r="8" spans="1:9" x14ac:dyDescent="0.3">
      <c r="A8" t="s">
        <v>42</v>
      </c>
      <c r="B8" s="19">
        <f>I5/-B5</f>
        <v>1.5596107921585944</v>
      </c>
      <c r="C8" s="19"/>
      <c r="D8" s="19"/>
      <c r="E8" s="19"/>
      <c r="F8" s="19"/>
      <c r="G8" s="19"/>
    </row>
    <row r="9" spans="1:9" x14ac:dyDescent="0.3">
      <c r="B9" s="19"/>
      <c r="C9" s="19"/>
      <c r="D9" s="19"/>
      <c r="E9" s="19"/>
      <c r="F9" s="19"/>
      <c r="G9" s="19"/>
    </row>
    <row r="10" spans="1:9" x14ac:dyDescent="0.3">
      <c r="B10" s="19"/>
      <c r="C10" s="19"/>
      <c r="D10" s="19"/>
      <c r="E10" s="19"/>
      <c r="F10" s="19"/>
      <c r="G10" s="19"/>
    </row>
    <row r="12" spans="1:9" x14ac:dyDescent="0.3">
      <c r="A12" t="s">
        <v>44</v>
      </c>
    </row>
    <row r="13" spans="1:9" x14ac:dyDescent="0.3"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</row>
    <row r="14" spans="1:9" x14ac:dyDescent="0.3">
      <c r="A14" t="s">
        <v>37</v>
      </c>
      <c r="B14">
        <f>B4</f>
        <v>-17000</v>
      </c>
      <c r="C14">
        <f t="shared" ref="C14:G14" si="2">C4</f>
        <v>-13950</v>
      </c>
      <c r="D14">
        <f t="shared" si="2"/>
        <v>-1700</v>
      </c>
      <c r="E14">
        <f t="shared" si="2"/>
        <v>22800</v>
      </c>
      <c r="F14">
        <f t="shared" si="2"/>
        <v>22800</v>
      </c>
      <c r="G14">
        <f t="shared" si="2"/>
        <v>22800</v>
      </c>
    </row>
    <row r="15" spans="1:9" x14ac:dyDescent="0.3">
      <c r="A15" t="s">
        <v>38</v>
      </c>
      <c r="B15" s="19">
        <f>B14*POWER(1.24,-B13)</f>
        <v>-17000</v>
      </c>
      <c r="C15" s="19">
        <f t="shared" ref="C15:G15" si="3">C14*POWER(1.24,-C13)</f>
        <v>-11250</v>
      </c>
      <c r="D15" s="19">
        <f t="shared" si="3"/>
        <v>-1105.6191467221645</v>
      </c>
      <c r="E15" s="19">
        <f t="shared" si="3"/>
        <v>11958.309556577489</v>
      </c>
      <c r="F15" s="19">
        <f t="shared" si="3"/>
        <v>9643.7980294979752</v>
      </c>
      <c r="G15" s="19">
        <f t="shared" si="3"/>
        <v>7777.2564754015921</v>
      </c>
      <c r="I15" s="19">
        <f>SUM(B15:G15)</f>
        <v>23.744914754891397</v>
      </c>
    </row>
    <row r="16" spans="1:9" x14ac:dyDescent="0.3">
      <c r="A16" t="s">
        <v>41</v>
      </c>
      <c r="B16" s="19">
        <f>B15</f>
        <v>-17000</v>
      </c>
      <c r="C16" s="19">
        <f>C15+B16</f>
        <v>-28250</v>
      </c>
      <c r="D16" s="19">
        <f t="shared" ref="D16" si="4">D15+C16</f>
        <v>-29355.619146722165</v>
      </c>
      <c r="E16" s="19">
        <f t="shared" ref="E16" si="5">E15+D16</f>
        <v>-17397.309590144676</v>
      </c>
      <c r="F16" s="19">
        <f t="shared" ref="F16" si="6">F15+E16</f>
        <v>-7753.5115606467007</v>
      </c>
      <c r="G16" s="19">
        <f t="shared" ref="G16" si="7">G15+F16</f>
        <v>23.744914754891397</v>
      </c>
    </row>
    <row r="18" spans="1:2" x14ac:dyDescent="0.3">
      <c r="A18" t="s">
        <v>42</v>
      </c>
      <c r="B18" s="19">
        <f>I15/-B15</f>
        <v>1.3967596914641997E-3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Mission 1 - Question 2</vt:lpstr>
      <vt:lpstr>Mission 2 - Question 3</vt:lpstr>
      <vt:lpstr>Mission 3 - Question 4</vt:lpstr>
      <vt:lpstr>Mission 3 - Question 5</vt:lpstr>
      <vt:lpstr>Mission 4 - Question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Camille</cp:lastModifiedBy>
  <dcterms:created xsi:type="dcterms:W3CDTF">2018-10-09T12:38:40Z</dcterms:created>
  <dcterms:modified xsi:type="dcterms:W3CDTF">2021-06-01T16:22:57Z</dcterms:modified>
</cp:coreProperties>
</file>