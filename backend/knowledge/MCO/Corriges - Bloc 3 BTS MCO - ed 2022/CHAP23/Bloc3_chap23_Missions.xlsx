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ick\Documents\FOUCHER\FOUCHER BTS CO\FOUCHER BTS MCO\BLOC 3\C23 Assurer la rentabilité de l’activité\"/>
    </mc:Choice>
  </mc:AlternateContent>
  <bookViews>
    <workbookView xWindow="0" yWindow="0" windowWidth="23235" windowHeight="8670" firstSheet="3" activeTab="4"/>
  </bookViews>
  <sheets>
    <sheet name="Mission 1 - Question 1" sheetId="7" r:id="rId1"/>
    <sheet name="Mission 1 - Question 2" sheetId="1" r:id="rId2"/>
    <sheet name="Mission 1 - Question 3" sheetId="2" r:id="rId3"/>
    <sheet name="Mission 2 - Question 4" sheetId="3" r:id="rId4"/>
    <sheet name="Mission 2 - Question 5" sheetId="4" r:id="rId5"/>
    <sheet name="Mission 2 - Question 6" sheetId="5" r:id="rId6"/>
    <sheet name="Mission 2 - Question 7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4" l="1"/>
  <c r="D6" i="4"/>
  <c r="C6" i="4"/>
  <c r="B6" i="4"/>
  <c r="E6" i="6"/>
  <c r="D6" i="6"/>
  <c r="C6" i="6"/>
  <c r="B6" i="6"/>
  <c r="E6" i="5"/>
  <c r="D6" i="5"/>
  <c r="C6" i="5"/>
  <c r="B6" i="5"/>
  <c r="C8" i="6" l="1"/>
  <c r="I39" i="1"/>
  <c r="C39" i="1"/>
  <c r="D4" i="7"/>
  <c r="B3" i="7"/>
  <c r="B5" i="7" s="1"/>
  <c r="C1" i="7"/>
  <c r="C3" i="7" s="1"/>
  <c r="C5" i="7" s="1"/>
  <c r="C6" i="7" s="1"/>
  <c r="B6" i="7" l="1"/>
  <c r="D5" i="7"/>
  <c r="B5" i="6"/>
  <c r="E2" i="6"/>
  <c r="E9" i="6" s="1"/>
  <c r="D2" i="6"/>
  <c r="D9" i="6" s="1"/>
  <c r="C2" i="6"/>
  <c r="B2" i="6"/>
  <c r="B9" i="6" s="1"/>
  <c r="C9" i="5"/>
  <c r="D9" i="5"/>
  <c r="E9" i="5"/>
  <c r="B9" i="5"/>
  <c r="F9" i="5" s="1"/>
  <c r="F10" i="5" s="1"/>
  <c r="C8" i="5"/>
  <c r="B5" i="5"/>
  <c r="E2" i="5"/>
  <c r="D2" i="5"/>
  <c r="C2" i="5"/>
  <c r="B2" i="5"/>
  <c r="B2" i="2"/>
  <c r="C2" i="2"/>
  <c r="D2" i="2"/>
  <c r="A3" i="2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D7" i="2"/>
  <c r="D9" i="2" s="1"/>
  <c r="A8" i="2"/>
  <c r="D8" i="2"/>
  <c r="B1" i="2"/>
  <c r="C1" i="2"/>
  <c r="D25" i="1"/>
  <c r="D15" i="1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D17" i="2"/>
  <c r="A18" i="2"/>
  <c r="D18" i="2"/>
  <c r="A21" i="2"/>
  <c r="B21" i="2"/>
  <c r="C21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D27" i="2"/>
  <c r="A28" i="2"/>
  <c r="A31" i="2"/>
  <c r="B31" i="2"/>
  <c r="C31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D37" i="2"/>
  <c r="A38" i="2"/>
  <c r="D38" i="2"/>
  <c r="A41" i="2"/>
  <c r="B41" i="2"/>
  <c r="C41" i="2"/>
  <c r="B42" i="2"/>
  <c r="C42" i="2"/>
  <c r="D42" i="2"/>
  <c r="A43" i="2"/>
  <c r="B43" i="2"/>
  <c r="C43" i="2"/>
  <c r="A44" i="2"/>
  <c r="B44" i="2"/>
  <c r="C44" i="2"/>
  <c r="D44" i="2"/>
  <c r="A45" i="2"/>
  <c r="B45" i="2"/>
  <c r="A46" i="2"/>
  <c r="B46" i="2"/>
  <c r="A47" i="2"/>
  <c r="D47" i="2"/>
  <c r="A48" i="2"/>
  <c r="B11" i="2"/>
  <c r="C11" i="2"/>
  <c r="A11" i="2"/>
  <c r="B5" i="4"/>
  <c r="C2" i="4"/>
  <c r="D2" i="4"/>
  <c r="E2" i="4"/>
  <c r="B2" i="4"/>
  <c r="F6" i="4" s="1"/>
  <c r="B5" i="3"/>
  <c r="B9" i="3" s="1"/>
  <c r="D8" i="7" l="1"/>
  <c r="E8" i="7" s="1"/>
  <c r="D6" i="7"/>
  <c r="C9" i="6"/>
  <c r="F9" i="6"/>
  <c r="F10" i="6" s="1"/>
  <c r="D39" i="2"/>
  <c r="D29" i="2"/>
  <c r="D19" i="2"/>
  <c r="I40" i="1"/>
  <c r="D40" i="1"/>
  <c r="C37" i="1"/>
  <c r="D31" i="1"/>
  <c r="C28" i="1"/>
  <c r="D16" i="1"/>
  <c r="C24" i="1"/>
  <c r="B24" i="1"/>
  <c r="B21" i="1"/>
  <c r="C19" i="1"/>
  <c r="B12" i="1"/>
  <c r="C10" i="1"/>
  <c r="C1" i="1"/>
  <c r="C3" i="1" s="1"/>
  <c r="C5" i="1" s="1"/>
  <c r="C6" i="1" s="1"/>
  <c r="D4" i="1"/>
  <c r="B3" i="1"/>
  <c r="B5" i="1" s="1"/>
  <c r="B22" i="1" l="1"/>
  <c r="B13" i="1"/>
  <c r="C12" i="1"/>
  <c r="B30" i="1"/>
  <c r="C21" i="1"/>
  <c r="C41" i="1"/>
  <c r="C45" i="2" s="1"/>
  <c r="I30" i="1"/>
  <c r="I31" i="1" s="1"/>
  <c r="B39" i="1"/>
  <c r="C30" i="1"/>
  <c r="B14" i="1"/>
  <c r="B6" i="1"/>
  <c r="D5" i="1"/>
  <c r="D8" i="1" s="1"/>
  <c r="E8" i="1" s="1"/>
  <c r="B23" i="1" l="1"/>
  <c r="C42" i="1"/>
  <c r="C46" i="2" s="1"/>
  <c r="C22" i="1"/>
  <c r="C23" i="1" s="1"/>
  <c r="C13" i="1"/>
  <c r="B32" i="1"/>
  <c r="D6" i="1"/>
  <c r="B41" i="1"/>
  <c r="D39" i="1"/>
  <c r="D43" i="2" s="1"/>
  <c r="D23" i="1" l="1"/>
  <c r="C14" i="1"/>
  <c r="B33" i="1"/>
  <c r="D41" i="1"/>
  <c r="D45" i="2" s="1"/>
  <c r="D22" i="1"/>
  <c r="D13" i="1"/>
  <c r="B42" i="1"/>
  <c r="D30" i="1"/>
  <c r="C32" i="1"/>
  <c r="D32" i="1"/>
  <c r="C33" i="1" l="1"/>
  <c r="D44" i="1"/>
  <c r="D48" i="2" s="1"/>
  <c r="D42" i="1"/>
  <c r="D46" i="2" s="1"/>
  <c r="D49" i="2" s="1"/>
  <c r="D35" i="1"/>
  <c r="D14" i="1"/>
  <c r="D24" i="1"/>
  <c r="D26" i="1"/>
  <c r="D28" i="2" s="1"/>
  <c r="D33" i="1"/>
  <c r="D17" i="1" l="1"/>
  <c r="E35" i="1"/>
  <c r="E26" i="1"/>
  <c r="E44" i="1"/>
  <c r="E17" i="1" l="1"/>
</calcChain>
</file>

<file path=xl/sharedStrings.xml><?xml version="1.0" encoding="utf-8"?>
<sst xmlns="http://schemas.openxmlformats.org/spreadsheetml/2006/main" count="120" uniqueCount="44">
  <si>
    <t>CA</t>
  </si>
  <si>
    <t>Coût d'achat des produits</t>
  </si>
  <si>
    <t>Appareils</t>
  </si>
  <si>
    <t>Produits</t>
  </si>
  <si>
    <t>Total</t>
  </si>
  <si>
    <t>Marge brute</t>
  </si>
  <si>
    <t>Taux de marque</t>
  </si>
  <si>
    <t>Charges de structure</t>
  </si>
  <si>
    <t>Résultat</t>
  </si>
  <si>
    <t>ca sans remise</t>
  </si>
  <si>
    <t>CA à 10% remise</t>
  </si>
  <si>
    <t>CA sans démarque</t>
  </si>
  <si>
    <t>CA démarque 3%</t>
  </si>
  <si>
    <t>Liens sponsorisés</t>
  </si>
  <si>
    <t>Newsletter </t>
  </si>
  <si>
    <t>Demandes d'abonnement</t>
  </si>
  <si>
    <t>Coût d'acquisition du client</t>
  </si>
  <si>
    <t>Comunity management</t>
  </si>
  <si>
    <t>Années</t>
  </si>
  <si>
    <t>N</t>
  </si>
  <si>
    <t>N+1</t>
  </si>
  <si>
    <t>N+2</t>
  </si>
  <si>
    <t>N+3</t>
  </si>
  <si>
    <t>Nombre de clients</t>
  </si>
  <si>
    <t>Coût d’acquisition</t>
  </si>
  <si>
    <t>Marge nette annuelle</t>
  </si>
  <si>
    <t xml:space="preserve">Coûts de gestion </t>
  </si>
  <si>
    <t>Coûts de fidélisation</t>
  </si>
  <si>
    <t>Abonnement moyen annuel</t>
  </si>
  <si>
    <t>384 / 1,2</t>
  </si>
  <si>
    <t>Marge globale annuelle</t>
  </si>
  <si>
    <t>Hypothèse 1</t>
  </si>
  <si>
    <t>Hypothèse 2</t>
  </si>
  <si>
    <t>Hypothèse 3</t>
  </si>
  <si>
    <t>Hypothèse 4</t>
  </si>
  <si>
    <t>Seuil de rentabilité</t>
  </si>
  <si>
    <t>16 x 0,9 = 14,4</t>
  </si>
  <si>
    <t>20 x 0,8 = 16</t>
  </si>
  <si>
    <t>14,4 x 0,9 = 12,96</t>
  </si>
  <si>
    <t>Valeur d'un client</t>
  </si>
  <si>
    <t>Sept</t>
  </si>
  <si>
    <t>20 x 0,9 = 18</t>
  </si>
  <si>
    <t>18 x 0,95 = 17,1</t>
  </si>
  <si>
    <t>17 x 0,95 = 16,15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</si>
</sst>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44" fontId="0" fillId="0" borderId="0" xfId="0" applyNumberFormat="1"/>
    <xf numFmtId="10" fontId="0" fillId="0" borderId="0" xfId="2" applyNumberFormat="1" applyFont="1"/>
    <xf numFmtId="0" fontId="0" fillId="2" borderId="0" xfId="0" applyFill="1"/>
    <xf numFmtId="0" fontId="2" fillId="0" borderId="0" xfId="0" applyFont="1" applyAlignment="1">
      <alignment horizontal="left" vertical="center" indent="5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0" fillId="0" borderId="0" xfId="0" applyBorder="1"/>
    <xf numFmtId="0" fontId="2" fillId="0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164" fontId="0" fillId="0" borderId="1" xfId="0" applyNumberFormat="1" applyBorder="1"/>
    <xf numFmtId="0" fontId="4" fillId="0" borderId="0" xfId="0" applyFont="1" applyFill="1"/>
    <xf numFmtId="0" fontId="0" fillId="0" borderId="0" xfId="0" applyFill="1"/>
    <xf numFmtId="10" fontId="0" fillId="0" borderId="0" xfId="2" applyNumberFormat="1" applyFont="1" applyFill="1"/>
    <xf numFmtId="0" fontId="0" fillId="0" borderId="1" xfId="0" applyFill="1" applyBorder="1"/>
    <xf numFmtId="44" fontId="0" fillId="0" borderId="1" xfId="1" applyFont="1" applyFill="1" applyBorder="1"/>
    <xf numFmtId="44" fontId="0" fillId="0" borderId="1" xfId="0" applyNumberFormat="1" applyFill="1" applyBorder="1"/>
    <xf numFmtId="44" fontId="0" fillId="2" borderId="1" xfId="1" applyFont="1" applyFill="1" applyBorder="1"/>
    <xf numFmtId="10" fontId="0" fillId="0" borderId="0" xfId="2" applyNumberFormat="1" applyFont="1" applyBorder="1"/>
    <xf numFmtId="165" fontId="0" fillId="0" borderId="1" xfId="0" applyNumberFormat="1" applyBorder="1"/>
    <xf numFmtId="2" fontId="0" fillId="0" borderId="1" xfId="0" applyNumberFormat="1" applyBorder="1"/>
    <xf numFmtId="44" fontId="0" fillId="2" borderId="1" xfId="0" applyNumberFormat="1" applyFill="1" applyBorder="1"/>
    <xf numFmtId="2" fontId="0" fillId="0" borderId="0" xfId="0" applyNumberFormat="1"/>
    <xf numFmtId="0" fontId="2" fillId="0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5"/>
    </xf>
    <xf numFmtId="0" fontId="2" fillId="0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A2" sqref="A2:D8"/>
    </sheetView>
  </sheetViews>
  <sheetFormatPr baseColWidth="10" defaultRowHeight="15" x14ac:dyDescent="0.25"/>
  <cols>
    <col min="1" max="1" width="25.140625" customWidth="1"/>
    <col min="2" max="5" width="16" customWidth="1"/>
  </cols>
  <sheetData>
    <row r="1" spans="1:5" x14ac:dyDescent="0.25">
      <c r="A1" s="9"/>
      <c r="B1" s="9">
        <v>0.6</v>
      </c>
      <c r="C1" s="9">
        <f>1-B1</f>
        <v>0.4</v>
      </c>
      <c r="D1" s="9"/>
      <c r="E1" s="9"/>
    </row>
    <row r="2" spans="1:5" x14ac:dyDescent="0.25">
      <c r="A2" s="11"/>
      <c r="B2" s="11" t="s">
        <v>2</v>
      </c>
      <c r="C2" s="11" t="s">
        <v>3</v>
      </c>
      <c r="D2" s="11" t="s">
        <v>4</v>
      </c>
      <c r="E2" s="9"/>
    </row>
    <row r="3" spans="1:5" x14ac:dyDescent="0.25">
      <c r="A3" s="11" t="s">
        <v>0</v>
      </c>
      <c r="B3" s="13">
        <f>D3*B1</f>
        <v>182640</v>
      </c>
      <c r="C3" s="13">
        <f>C1*D3</f>
        <v>121760</v>
      </c>
      <c r="D3" s="14">
        <v>304400</v>
      </c>
      <c r="E3" s="9"/>
    </row>
    <row r="4" spans="1:5" x14ac:dyDescent="0.25">
      <c r="A4" s="11" t="s">
        <v>1</v>
      </c>
      <c r="B4" s="13">
        <v>133327</v>
      </c>
      <c r="C4" s="13">
        <v>62097</v>
      </c>
      <c r="D4" s="14">
        <f>B4+C4</f>
        <v>195424</v>
      </c>
      <c r="E4" s="9"/>
    </row>
    <row r="5" spans="1:5" x14ac:dyDescent="0.25">
      <c r="A5" s="11" t="s">
        <v>5</v>
      </c>
      <c r="B5" s="14">
        <f>B3-B4</f>
        <v>49313</v>
      </c>
      <c r="C5" s="14">
        <f>C3-C4</f>
        <v>59663</v>
      </c>
      <c r="D5" s="14">
        <f>B5+C5</f>
        <v>108976</v>
      </c>
      <c r="E5" s="9"/>
    </row>
    <row r="6" spans="1:5" x14ac:dyDescent="0.25">
      <c r="A6" s="11" t="s">
        <v>6</v>
      </c>
      <c r="B6" s="25">
        <f>B5/B3</f>
        <v>0.27000109505037234</v>
      </c>
      <c r="C6" s="25">
        <f>C5/C3</f>
        <v>0.49000492772667542</v>
      </c>
      <c r="D6" s="15">
        <f>D5/D3</f>
        <v>0.35800262812089356</v>
      </c>
      <c r="E6" s="9"/>
    </row>
    <row r="7" spans="1:5" x14ac:dyDescent="0.25">
      <c r="A7" s="11" t="s">
        <v>7</v>
      </c>
      <c r="B7" s="11"/>
      <c r="C7" s="11"/>
      <c r="D7" s="13">
        <v>106723</v>
      </c>
      <c r="E7" s="9"/>
    </row>
    <row r="8" spans="1:5" x14ac:dyDescent="0.25">
      <c r="A8" s="11" t="s">
        <v>8</v>
      </c>
      <c r="B8" s="11"/>
      <c r="C8" s="11"/>
      <c r="D8" s="14">
        <f>D5-D7</f>
        <v>2253</v>
      </c>
      <c r="E8" s="23">
        <f>D8/D3</f>
        <v>7.4014454664914587E-3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opLeftCell="A21" workbookViewId="0">
      <selection activeCell="C41" sqref="C41"/>
    </sheetView>
  </sheetViews>
  <sheetFormatPr baseColWidth="10" defaultRowHeight="15" x14ac:dyDescent="0.25"/>
  <cols>
    <col min="1" max="1" width="24.85546875" customWidth="1"/>
    <col min="2" max="3" width="12.85546875" bestFit="1" customWidth="1"/>
    <col min="4" max="4" width="13.5703125" bestFit="1" customWidth="1"/>
    <col min="9" max="9" width="12.85546875" bestFit="1" customWidth="1"/>
  </cols>
  <sheetData>
    <row r="1" spans="1:5" x14ac:dyDescent="0.25">
      <c r="A1" s="9"/>
      <c r="B1" s="9">
        <v>0.6</v>
      </c>
      <c r="C1" s="9">
        <f>1-B1</f>
        <v>0.4</v>
      </c>
      <c r="D1" s="9"/>
      <c r="E1" s="9"/>
    </row>
    <row r="2" spans="1:5" x14ac:dyDescent="0.25">
      <c r="A2" s="11"/>
      <c r="B2" s="11" t="s">
        <v>2</v>
      </c>
      <c r="C2" s="11" t="s">
        <v>3</v>
      </c>
      <c r="D2" s="11" t="s">
        <v>4</v>
      </c>
      <c r="E2" s="9"/>
    </row>
    <row r="3" spans="1:5" x14ac:dyDescent="0.25">
      <c r="A3" s="11" t="s">
        <v>0</v>
      </c>
      <c r="B3" s="13">
        <f>D3*B1</f>
        <v>182640</v>
      </c>
      <c r="C3" s="13">
        <f>C1*D3</f>
        <v>121760</v>
      </c>
      <c r="D3" s="14">
        <v>304400</v>
      </c>
      <c r="E3" s="9"/>
    </row>
    <row r="4" spans="1:5" x14ac:dyDescent="0.25">
      <c r="A4" s="11" t="s">
        <v>1</v>
      </c>
      <c r="B4" s="13">
        <v>133327</v>
      </c>
      <c r="C4" s="13">
        <v>62097</v>
      </c>
      <c r="D4" s="14">
        <f>B4+C4</f>
        <v>195424</v>
      </c>
      <c r="E4" s="9"/>
    </row>
    <row r="5" spans="1:5" x14ac:dyDescent="0.25">
      <c r="A5" s="11" t="s">
        <v>5</v>
      </c>
      <c r="B5" s="14">
        <f>B3-B4</f>
        <v>49313</v>
      </c>
      <c r="C5" s="14">
        <f>C3-C4</f>
        <v>59663</v>
      </c>
      <c r="D5" s="14">
        <f>B5+C5</f>
        <v>108976</v>
      </c>
      <c r="E5" s="9"/>
    </row>
    <row r="6" spans="1:5" x14ac:dyDescent="0.25">
      <c r="A6" s="11" t="s">
        <v>6</v>
      </c>
      <c r="B6" s="25">
        <f>B5/B3</f>
        <v>0.27000109505037234</v>
      </c>
      <c r="C6" s="25">
        <f>C5/C3</f>
        <v>0.49000492772667542</v>
      </c>
      <c r="D6" s="15">
        <f>D5/D3</f>
        <v>0.35800262812089356</v>
      </c>
      <c r="E6" s="9"/>
    </row>
    <row r="7" spans="1:5" x14ac:dyDescent="0.25">
      <c r="A7" s="11" t="s">
        <v>7</v>
      </c>
      <c r="B7" s="11"/>
      <c r="C7" s="11"/>
      <c r="D7" s="13">
        <v>106723</v>
      </c>
      <c r="E7" s="9"/>
    </row>
    <row r="8" spans="1:5" x14ac:dyDescent="0.25">
      <c r="A8" s="11" t="s">
        <v>8</v>
      </c>
      <c r="B8" s="11"/>
      <c r="C8" s="11"/>
      <c r="D8" s="14">
        <f>D5-D7</f>
        <v>2253</v>
      </c>
      <c r="E8" s="23">
        <f>D8/D3</f>
        <v>7.4014454664914587E-3</v>
      </c>
    </row>
    <row r="9" spans="1:5" x14ac:dyDescent="0.25">
      <c r="B9" s="1"/>
    </row>
    <row r="10" spans="1:5" x14ac:dyDescent="0.25">
      <c r="A10" s="16" t="s">
        <v>31</v>
      </c>
      <c r="B10" s="17">
        <v>0.6</v>
      </c>
      <c r="C10" s="17">
        <f>1-B10</f>
        <v>0.4</v>
      </c>
      <c r="D10" s="17"/>
      <c r="E10" s="17"/>
    </row>
    <row r="11" spans="1:5" x14ac:dyDescent="0.25">
      <c r="A11" s="19"/>
      <c r="B11" s="19" t="s">
        <v>2</v>
      </c>
      <c r="C11" s="19" t="s">
        <v>3</v>
      </c>
      <c r="D11" s="19" t="s">
        <v>4</v>
      </c>
      <c r="E11" s="17"/>
    </row>
    <row r="12" spans="1:5" x14ac:dyDescent="0.25">
      <c r="A12" s="19" t="s">
        <v>0</v>
      </c>
      <c r="B12" s="20">
        <f>D12*B10</f>
        <v>182640</v>
      </c>
      <c r="C12" s="20">
        <f>C10*D12</f>
        <v>121760</v>
      </c>
      <c r="D12" s="21">
        <v>304400</v>
      </c>
      <c r="E12" s="17"/>
    </row>
    <row r="13" spans="1:5" x14ac:dyDescent="0.25">
      <c r="A13" s="19" t="s">
        <v>1</v>
      </c>
      <c r="B13" s="20">
        <f>B12*(1-B15)</f>
        <v>133327.19999999998</v>
      </c>
      <c r="C13" s="20">
        <f>C12*(1-C15)</f>
        <v>62097.599999999999</v>
      </c>
      <c r="D13" s="21">
        <f>B13+C13</f>
        <v>195424.8</v>
      </c>
      <c r="E13" s="17"/>
    </row>
    <row r="14" spans="1:5" x14ac:dyDescent="0.25">
      <c r="A14" s="19" t="s">
        <v>5</v>
      </c>
      <c r="B14" s="21">
        <f>B12-B13</f>
        <v>49312.800000000017</v>
      </c>
      <c r="C14" s="21">
        <f>C12-C13</f>
        <v>59662.400000000001</v>
      </c>
      <c r="D14" s="21">
        <f>B14+C14</f>
        <v>108975.20000000001</v>
      </c>
      <c r="E14" s="17"/>
    </row>
    <row r="15" spans="1:5" x14ac:dyDescent="0.25">
      <c r="A15" s="19" t="s">
        <v>6</v>
      </c>
      <c r="B15" s="19">
        <v>0.27</v>
      </c>
      <c r="C15" s="19">
        <v>0.49</v>
      </c>
      <c r="D15" s="19">
        <f>D14/D12</f>
        <v>0.35800000000000004</v>
      </c>
      <c r="E15" s="17"/>
    </row>
    <row r="16" spans="1:5" x14ac:dyDescent="0.25">
      <c r="A16" s="19" t="s">
        <v>7</v>
      </c>
      <c r="B16" s="19"/>
      <c r="C16" s="19"/>
      <c r="D16" s="22">
        <f>D7*0.95</f>
        <v>101386.84999999999</v>
      </c>
      <c r="E16" s="17"/>
    </row>
    <row r="17" spans="1:9" x14ac:dyDescent="0.25">
      <c r="A17" s="19" t="s">
        <v>8</v>
      </c>
      <c r="B17" s="19"/>
      <c r="C17" s="19"/>
      <c r="D17" s="21">
        <f>D14-D16</f>
        <v>7588.3500000000204</v>
      </c>
      <c r="E17" s="18">
        <f>D17/D12</f>
        <v>2.4928876478318068E-2</v>
      </c>
    </row>
    <row r="19" spans="1:9" x14ac:dyDescent="0.25">
      <c r="A19" s="16" t="s">
        <v>32</v>
      </c>
      <c r="B19" s="3">
        <v>0.4</v>
      </c>
      <c r="C19" s="3">
        <f>1-B19</f>
        <v>0.6</v>
      </c>
    </row>
    <row r="20" spans="1:9" x14ac:dyDescent="0.25">
      <c r="A20" s="11"/>
      <c r="B20" s="11" t="s">
        <v>2</v>
      </c>
      <c r="C20" s="11" t="s">
        <v>3</v>
      </c>
      <c r="D20" s="11" t="s">
        <v>4</v>
      </c>
    </row>
    <row r="21" spans="1:9" x14ac:dyDescent="0.25">
      <c r="A21" s="11" t="s">
        <v>0</v>
      </c>
      <c r="B21" s="22">
        <f>D21*B19</f>
        <v>121760</v>
      </c>
      <c r="C21" s="22">
        <f>C19*D21</f>
        <v>182640</v>
      </c>
      <c r="D21" s="14">
        <v>304400</v>
      </c>
      <c r="I21" s="1"/>
    </row>
    <row r="22" spans="1:9" x14ac:dyDescent="0.25">
      <c r="A22" s="11" t="s">
        <v>1</v>
      </c>
      <c r="B22" s="22">
        <f>B21*(1-B24)</f>
        <v>88884.800000000003</v>
      </c>
      <c r="C22" s="22">
        <f>C21*(1-C24)</f>
        <v>93146.400000000009</v>
      </c>
      <c r="D22" s="14">
        <f>B22+C22</f>
        <v>182031.2</v>
      </c>
      <c r="I22" s="1"/>
    </row>
    <row r="23" spans="1:9" x14ac:dyDescent="0.25">
      <c r="A23" s="11" t="s">
        <v>5</v>
      </c>
      <c r="B23" s="26">
        <f>B21-B22</f>
        <v>32875.199999999997</v>
      </c>
      <c r="C23" s="26">
        <f>C21-C22</f>
        <v>89493.599999999991</v>
      </c>
      <c r="D23" s="14">
        <f>B23+C23</f>
        <v>122368.79999999999</v>
      </c>
    </row>
    <row r="24" spans="1:9" x14ac:dyDescent="0.25">
      <c r="A24" s="11" t="s">
        <v>6</v>
      </c>
      <c r="B24" s="11">
        <f>B15</f>
        <v>0.27</v>
      </c>
      <c r="C24" s="11">
        <f>C15</f>
        <v>0.49</v>
      </c>
      <c r="D24" s="11">
        <f>D23/D21</f>
        <v>0.40199999999999997</v>
      </c>
    </row>
    <row r="25" spans="1:9" x14ac:dyDescent="0.25">
      <c r="A25" s="11" t="s">
        <v>7</v>
      </c>
      <c r="B25" s="11"/>
      <c r="C25" s="11"/>
      <c r="D25" s="13">
        <f>D7</f>
        <v>106723</v>
      </c>
    </row>
    <row r="26" spans="1:9" x14ac:dyDescent="0.25">
      <c r="A26" s="11" t="s">
        <v>8</v>
      </c>
      <c r="B26" s="11"/>
      <c r="C26" s="11"/>
      <c r="D26" s="14">
        <f>D23-D25</f>
        <v>15645.799999999988</v>
      </c>
      <c r="E26" s="2">
        <f>D26/D21</f>
        <v>5.1398817345597862E-2</v>
      </c>
    </row>
    <row r="28" spans="1:9" x14ac:dyDescent="0.25">
      <c r="A28" s="16" t="s">
        <v>33</v>
      </c>
      <c r="B28">
        <v>0.6</v>
      </c>
      <c r="C28">
        <f>1-B28</f>
        <v>0.4</v>
      </c>
    </row>
    <row r="29" spans="1:9" x14ac:dyDescent="0.25">
      <c r="A29" s="11"/>
      <c r="B29" s="11" t="s">
        <v>2</v>
      </c>
      <c r="C29" s="11" t="s">
        <v>3</v>
      </c>
      <c r="D29" s="11" t="s">
        <v>4</v>
      </c>
    </row>
    <row r="30" spans="1:9" x14ac:dyDescent="0.25">
      <c r="A30" s="11" t="s">
        <v>0</v>
      </c>
      <c r="B30" s="22">
        <f>B3/0.8*0.9</f>
        <v>205470</v>
      </c>
      <c r="C30" s="13">
        <f>C3</f>
        <v>121760</v>
      </c>
      <c r="D30" s="14">
        <f>B30+C30</f>
        <v>327230</v>
      </c>
      <c r="G30" t="s">
        <v>9</v>
      </c>
      <c r="I30" s="1">
        <f>B3/0.8</f>
        <v>228300</v>
      </c>
    </row>
    <row r="31" spans="1:9" x14ac:dyDescent="0.25">
      <c r="A31" s="11" t="s">
        <v>1</v>
      </c>
      <c r="B31" s="13">
        <v>133327</v>
      </c>
      <c r="C31" s="13">
        <v>62097</v>
      </c>
      <c r="D31" s="14">
        <f>B31+C31</f>
        <v>195424</v>
      </c>
      <c r="G31" t="s">
        <v>10</v>
      </c>
      <c r="I31" s="1">
        <f>I30*0.9</f>
        <v>205470</v>
      </c>
    </row>
    <row r="32" spans="1:9" x14ac:dyDescent="0.25">
      <c r="A32" s="11" t="s">
        <v>5</v>
      </c>
      <c r="B32" s="14">
        <f>B30-B31</f>
        <v>72143</v>
      </c>
      <c r="C32" s="14">
        <f>C30-C31</f>
        <v>59663</v>
      </c>
      <c r="D32" s="14">
        <f>B32+C32</f>
        <v>131806</v>
      </c>
    </row>
    <row r="33" spans="1:9" x14ac:dyDescent="0.25">
      <c r="A33" s="11" t="s">
        <v>6</v>
      </c>
      <c r="B33" s="11">
        <f>B32/B30</f>
        <v>0.35111208448921982</v>
      </c>
      <c r="C33" s="11">
        <f>C32/C30</f>
        <v>0.49000492772667542</v>
      </c>
      <c r="D33" s="15">
        <f>D32/D30</f>
        <v>0.40279314243804054</v>
      </c>
    </row>
    <row r="34" spans="1:9" x14ac:dyDescent="0.25">
      <c r="A34" s="11" t="s">
        <v>7</v>
      </c>
      <c r="B34" s="11"/>
      <c r="C34" s="11"/>
      <c r="D34" s="13">
        <v>106723</v>
      </c>
    </row>
    <row r="35" spans="1:9" x14ac:dyDescent="0.25">
      <c r="A35" s="11" t="s">
        <v>8</v>
      </c>
      <c r="B35" s="11"/>
      <c r="C35" s="11"/>
      <c r="D35" s="14">
        <f>D32-D34</f>
        <v>25083</v>
      </c>
      <c r="E35" s="2">
        <f>D35/D30</f>
        <v>7.6652507410689727E-2</v>
      </c>
    </row>
    <row r="37" spans="1:9" x14ac:dyDescent="0.25">
      <c r="A37" s="16" t="s">
        <v>34</v>
      </c>
      <c r="B37">
        <v>0.6</v>
      </c>
      <c r="C37">
        <f>1-B37</f>
        <v>0.4</v>
      </c>
    </row>
    <row r="38" spans="1:9" x14ac:dyDescent="0.25">
      <c r="A38" s="11"/>
      <c r="B38" s="11" t="s">
        <v>2</v>
      </c>
      <c r="C38" s="11" t="s">
        <v>3</v>
      </c>
      <c r="D38" s="11" t="s">
        <v>4</v>
      </c>
    </row>
    <row r="39" spans="1:9" x14ac:dyDescent="0.25">
      <c r="A39" s="11" t="s">
        <v>0</v>
      </c>
      <c r="B39" s="13">
        <f>B3</f>
        <v>182640</v>
      </c>
      <c r="C39" s="22">
        <f>C3/0.91*0.97</f>
        <v>129788.13186813187</v>
      </c>
      <c r="D39" s="14">
        <f>B39+C39</f>
        <v>312428.13186813187</v>
      </c>
      <c r="G39" t="s">
        <v>11</v>
      </c>
      <c r="I39" s="1">
        <f>C3/0.91</f>
        <v>133802.1978021978</v>
      </c>
    </row>
    <row r="40" spans="1:9" x14ac:dyDescent="0.25">
      <c r="A40" s="11" t="s">
        <v>1</v>
      </c>
      <c r="B40" s="13">
        <v>133327</v>
      </c>
      <c r="C40" s="13">
        <v>62097</v>
      </c>
      <c r="D40" s="14">
        <f>B40+C40</f>
        <v>195424</v>
      </c>
      <c r="G40" t="s">
        <v>12</v>
      </c>
      <c r="I40" s="1">
        <f>I39*0.97</f>
        <v>129788.13186813187</v>
      </c>
    </row>
    <row r="41" spans="1:9" x14ac:dyDescent="0.25">
      <c r="A41" s="11" t="s">
        <v>5</v>
      </c>
      <c r="B41" s="14">
        <f>B39-B40</f>
        <v>49313</v>
      </c>
      <c r="C41" s="14">
        <f>C39-C40</f>
        <v>67691.131868131866</v>
      </c>
      <c r="D41" s="14">
        <f>B41+C41</f>
        <v>117004.13186813187</v>
      </c>
    </row>
    <row r="42" spans="1:9" x14ac:dyDescent="0.25">
      <c r="A42" s="11" t="s">
        <v>6</v>
      </c>
      <c r="B42" s="11">
        <f>B41/B39</f>
        <v>0.27000109505037234</v>
      </c>
      <c r="C42" s="11">
        <f>C41/C39</f>
        <v>0.52155101467141718</v>
      </c>
      <c r="D42" s="15">
        <f>D41/D39</f>
        <v>0.37449934859744449</v>
      </c>
    </row>
    <row r="43" spans="1:9" x14ac:dyDescent="0.25">
      <c r="A43" s="11" t="s">
        <v>7</v>
      </c>
      <c r="B43" s="11"/>
      <c r="C43" s="11"/>
      <c r="D43" s="13">
        <v>106723</v>
      </c>
    </row>
    <row r="44" spans="1:9" x14ac:dyDescent="0.25">
      <c r="A44" s="11" t="s">
        <v>8</v>
      </c>
      <c r="B44" s="11"/>
      <c r="C44" s="11"/>
      <c r="D44" s="14">
        <f>D41-D43</f>
        <v>10281.131868131866</v>
      </c>
      <c r="E44" s="2">
        <f>D44/D39</f>
        <v>3.2907189908465979E-2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26" workbookViewId="0">
      <selection sqref="A1:D49"/>
    </sheetView>
  </sheetViews>
  <sheetFormatPr baseColWidth="10" defaultRowHeight="15" x14ac:dyDescent="0.25"/>
  <cols>
    <col min="1" max="1" width="28.5703125" customWidth="1"/>
    <col min="2" max="4" width="17.28515625" customWidth="1"/>
  </cols>
  <sheetData>
    <row r="1" spans="1:4" x14ac:dyDescent="0.25">
      <c r="B1">
        <f>'Mission 1 - Question 2'!B1</f>
        <v>0.6</v>
      </c>
      <c r="C1">
        <f>'Mission 1 - Question 2'!C1</f>
        <v>0.4</v>
      </c>
    </row>
    <row r="2" spans="1:4" x14ac:dyDescent="0.25">
      <c r="A2" s="11"/>
      <c r="B2" s="11" t="str">
        <f>'Mission 1 - Question 2'!B2</f>
        <v>Appareils</v>
      </c>
      <c r="C2" s="11" t="str">
        <f>'Mission 1 - Question 2'!C2</f>
        <v>Produits</v>
      </c>
      <c r="D2" s="11" t="str">
        <f>'Mission 1 - Question 2'!D2</f>
        <v>Total</v>
      </c>
    </row>
    <row r="3" spans="1:4" x14ac:dyDescent="0.25">
      <c r="A3" s="11" t="str">
        <f>'Mission 1 - Question 2'!A3</f>
        <v>CA</v>
      </c>
      <c r="B3" s="11">
        <f>'Mission 1 - Question 2'!B3</f>
        <v>182640</v>
      </c>
      <c r="C3" s="11">
        <f>'Mission 1 - Question 2'!C3</f>
        <v>121760</v>
      </c>
      <c r="D3" s="11">
        <f>'Mission 1 - Question 2'!D3</f>
        <v>304400</v>
      </c>
    </row>
    <row r="4" spans="1:4" x14ac:dyDescent="0.25">
      <c r="A4" s="11" t="str">
        <f>'Mission 1 - Question 2'!A4</f>
        <v>Coût d'achat des produits</v>
      </c>
      <c r="B4" s="11">
        <f>'Mission 1 - Question 2'!B4</f>
        <v>133327</v>
      </c>
      <c r="C4" s="11">
        <f>'Mission 1 - Question 2'!C4</f>
        <v>62097</v>
      </c>
      <c r="D4" s="11">
        <f>'Mission 1 - Question 2'!D4</f>
        <v>195424</v>
      </c>
    </row>
    <row r="5" spans="1:4" x14ac:dyDescent="0.25">
      <c r="A5" s="11" t="str">
        <f>'Mission 1 - Question 2'!A5</f>
        <v>Marge brute</v>
      </c>
      <c r="B5" s="11">
        <f>'Mission 1 - Question 2'!B5</f>
        <v>49313</v>
      </c>
      <c r="C5" s="11">
        <f>'Mission 1 - Question 2'!C5</f>
        <v>59663</v>
      </c>
      <c r="D5" s="11">
        <f>'Mission 1 - Question 2'!D5</f>
        <v>108976</v>
      </c>
    </row>
    <row r="6" spans="1:4" x14ac:dyDescent="0.25">
      <c r="A6" s="11" t="str">
        <f>'Mission 1 - Question 2'!A6</f>
        <v>Taux de marque</v>
      </c>
      <c r="B6" s="25">
        <f>'Mission 1 - Question 2'!B6</f>
        <v>0.27000109505037234</v>
      </c>
      <c r="C6" s="25">
        <f>'Mission 1 - Question 2'!C6</f>
        <v>0.49000492772667542</v>
      </c>
      <c r="D6" s="15">
        <f>'Mission 1 - Question 2'!D6</f>
        <v>0.35800262812089356</v>
      </c>
    </row>
    <row r="7" spans="1:4" x14ac:dyDescent="0.25">
      <c r="A7" s="11" t="str">
        <f>'Mission 1 - Question 2'!A7</f>
        <v>Charges de structure</v>
      </c>
      <c r="B7" s="11"/>
      <c r="C7" s="11"/>
      <c r="D7" s="11">
        <f>'Mission 1 - Question 2'!D7</f>
        <v>106723</v>
      </c>
    </row>
    <row r="8" spans="1:4" x14ac:dyDescent="0.25">
      <c r="A8" s="11" t="str">
        <f>'Mission 1 - Question 2'!A8</f>
        <v>Résultat</v>
      </c>
      <c r="B8" s="11"/>
      <c r="C8" s="11"/>
      <c r="D8" s="11">
        <f>'Mission 1 - Question 2'!D8</f>
        <v>2253</v>
      </c>
    </row>
    <row r="9" spans="1:4" x14ac:dyDescent="0.25">
      <c r="A9" t="s">
        <v>35</v>
      </c>
      <c r="D9" s="27">
        <f>D7/D6</f>
        <v>298106.75011011597</v>
      </c>
    </row>
    <row r="11" spans="1:4" x14ac:dyDescent="0.25">
      <c r="A11" s="11" t="str">
        <f>'Mission 1 - Question 2'!A10</f>
        <v>Hypothèse 1</v>
      </c>
      <c r="B11" s="11">
        <f>'Mission 1 - Question 2'!B10</f>
        <v>0.6</v>
      </c>
      <c r="C11" s="11">
        <f>'Mission 1 - Question 2'!C10</f>
        <v>0.4</v>
      </c>
      <c r="D11" s="11"/>
    </row>
    <row r="12" spans="1:4" x14ac:dyDescent="0.25">
      <c r="A12" s="11"/>
      <c r="B12" s="11" t="str">
        <f>'Mission 1 - Question 2'!B11</f>
        <v>Appareils</v>
      </c>
      <c r="C12" s="11" t="str">
        <f>'Mission 1 - Question 2'!C11</f>
        <v>Produits</v>
      </c>
      <c r="D12" s="11" t="str">
        <f>'Mission 1 - Question 2'!D11</f>
        <v>Total</v>
      </c>
    </row>
    <row r="13" spans="1:4" x14ac:dyDescent="0.25">
      <c r="A13" s="11" t="str">
        <f>'Mission 1 - Question 2'!A12</f>
        <v>CA</v>
      </c>
      <c r="B13" s="11">
        <f>'Mission 1 - Question 2'!B12</f>
        <v>182640</v>
      </c>
      <c r="C13" s="11">
        <f>'Mission 1 - Question 2'!C12</f>
        <v>121760</v>
      </c>
      <c r="D13" s="11">
        <f>'Mission 1 - Question 2'!D12</f>
        <v>304400</v>
      </c>
    </row>
    <row r="14" spans="1:4" x14ac:dyDescent="0.25">
      <c r="A14" s="11" t="str">
        <f>'Mission 1 - Question 2'!A13</f>
        <v>Coût d'achat des produits</v>
      </c>
      <c r="B14" s="11">
        <f>'Mission 1 - Question 2'!B13</f>
        <v>133327.19999999998</v>
      </c>
      <c r="C14" s="11">
        <f>'Mission 1 - Question 2'!C13</f>
        <v>62097.599999999999</v>
      </c>
      <c r="D14" s="11">
        <f>'Mission 1 - Question 2'!D13</f>
        <v>195424.8</v>
      </c>
    </row>
    <row r="15" spans="1:4" x14ac:dyDescent="0.25">
      <c r="A15" s="11" t="str">
        <f>'Mission 1 - Question 2'!A14</f>
        <v>Marge brute</v>
      </c>
      <c r="B15" s="11">
        <f>'Mission 1 - Question 2'!B14</f>
        <v>49312.800000000017</v>
      </c>
      <c r="C15" s="11">
        <f>'Mission 1 - Question 2'!C14</f>
        <v>59662.400000000001</v>
      </c>
      <c r="D15" s="11">
        <f>'Mission 1 - Question 2'!D14</f>
        <v>108975.20000000001</v>
      </c>
    </row>
    <row r="16" spans="1:4" x14ac:dyDescent="0.25">
      <c r="A16" s="11" t="str">
        <f>'Mission 1 - Question 2'!A15</f>
        <v>Taux de marque</v>
      </c>
      <c r="B16" s="11">
        <f>'Mission 1 - Question 2'!B15</f>
        <v>0.27</v>
      </c>
      <c r="C16" s="11">
        <f>'Mission 1 - Question 2'!C15</f>
        <v>0.49</v>
      </c>
      <c r="D16" s="11">
        <f>'Mission 1 - Question 2'!D15</f>
        <v>0.35800000000000004</v>
      </c>
    </row>
    <row r="17" spans="1:4" x14ac:dyDescent="0.25">
      <c r="A17" s="11" t="str">
        <f>'Mission 1 - Question 2'!A16</f>
        <v>Charges de structure</v>
      </c>
      <c r="B17" s="11"/>
      <c r="C17" s="11"/>
      <c r="D17" s="11">
        <f>'Mission 1 - Question 2'!D16</f>
        <v>101386.84999999999</v>
      </c>
    </row>
    <row r="18" spans="1:4" x14ac:dyDescent="0.25">
      <c r="A18" s="11" t="str">
        <f>'Mission 1 - Question 2'!A17</f>
        <v>Résultat</v>
      </c>
      <c r="B18" s="11"/>
      <c r="C18" s="11"/>
      <c r="D18" s="11">
        <f>'Mission 1 - Question 2'!D17</f>
        <v>7588.3500000000204</v>
      </c>
    </row>
    <row r="19" spans="1:4" x14ac:dyDescent="0.25">
      <c r="A19" t="s">
        <v>35</v>
      </c>
      <c r="D19" s="27">
        <f>D17/D16</f>
        <v>283203.49162011169</v>
      </c>
    </row>
    <row r="20" spans="1:4" x14ac:dyDescent="0.25">
      <c r="D20" s="27"/>
    </row>
    <row r="21" spans="1:4" x14ac:dyDescent="0.25">
      <c r="A21" s="11" t="str">
        <f>'Mission 1 - Question 2'!A19</f>
        <v>Hypothèse 2</v>
      </c>
      <c r="B21" s="11">
        <f>'Mission 1 - Question 2'!B19</f>
        <v>0.4</v>
      </c>
      <c r="C21" s="11">
        <f>'Mission 1 - Question 2'!C19</f>
        <v>0.6</v>
      </c>
      <c r="D21" s="11"/>
    </row>
    <row r="22" spans="1:4" x14ac:dyDescent="0.25">
      <c r="A22" s="11"/>
      <c r="B22" s="11" t="str">
        <f>'Mission 1 - Question 2'!B20</f>
        <v>Appareils</v>
      </c>
      <c r="C22" s="11" t="str">
        <f>'Mission 1 - Question 2'!C20</f>
        <v>Produits</v>
      </c>
      <c r="D22" s="11" t="str">
        <f>'Mission 1 - Question 2'!D20</f>
        <v>Total</v>
      </c>
    </row>
    <row r="23" spans="1:4" x14ac:dyDescent="0.25">
      <c r="A23" s="11" t="str">
        <f>'Mission 1 - Question 2'!A21</f>
        <v>CA</v>
      </c>
      <c r="B23" s="11">
        <f>'Mission 1 - Question 2'!B21</f>
        <v>121760</v>
      </c>
      <c r="C23" s="11">
        <f>'Mission 1 - Question 2'!C21</f>
        <v>182640</v>
      </c>
      <c r="D23" s="11">
        <f>'Mission 1 - Question 2'!D21</f>
        <v>304400</v>
      </c>
    </row>
    <row r="24" spans="1:4" x14ac:dyDescent="0.25">
      <c r="A24" s="11" t="str">
        <f>'Mission 1 - Question 2'!A22</f>
        <v>Coût d'achat des produits</v>
      </c>
      <c r="B24" s="11">
        <f>'Mission 1 - Question 2'!B22</f>
        <v>88884.800000000003</v>
      </c>
      <c r="C24" s="11">
        <f>'Mission 1 - Question 2'!C22</f>
        <v>93146.400000000009</v>
      </c>
      <c r="D24" s="11">
        <f>'Mission 1 - Question 2'!D22</f>
        <v>182031.2</v>
      </c>
    </row>
    <row r="25" spans="1:4" x14ac:dyDescent="0.25">
      <c r="A25" s="11" t="str">
        <f>'Mission 1 - Question 2'!A23</f>
        <v>Marge brute</v>
      </c>
      <c r="B25" s="11">
        <f>'Mission 1 - Question 2'!B23</f>
        <v>32875.199999999997</v>
      </c>
      <c r="C25" s="11">
        <f>'Mission 1 - Question 2'!C23</f>
        <v>89493.599999999991</v>
      </c>
      <c r="D25" s="11">
        <f>'Mission 1 - Question 2'!D23</f>
        <v>122368.79999999999</v>
      </c>
    </row>
    <row r="26" spans="1:4" x14ac:dyDescent="0.25">
      <c r="A26" s="11" t="str">
        <f>'Mission 1 - Question 2'!A24</f>
        <v>Taux de marque</v>
      </c>
      <c r="B26" s="11">
        <f>'Mission 1 - Question 2'!B24</f>
        <v>0.27</v>
      </c>
      <c r="C26" s="11">
        <f>'Mission 1 - Question 2'!C24</f>
        <v>0.49</v>
      </c>
      <c r="D26" s="11">
        <f>'Mission 1 - Question 2'!D24</f>
        <v>0.40199999999999997</v>
      </c>
    </row>
    <row r="27" spans="1:4" x14ac:dyDescent="0.25">
      <c r="A27" s="11" t="str">
        <f>'Mission 1 - Question 2'!A25</f>
        <v>Charges de structure</v>
      </c>
      <c r="B27" s="11"/>
      <c r="C27" s="11"/>
      <c r="D27" s="11">
        <f>'Mission 1 - Question 2'!D25</f>
        <v>106723</v>
      </c>
    </row>
    <row r="28" spans="1:4" x14ac:dyDescent="0.25">
      <c r="A28" s="11" t="str">
        <f>'Mission 1 - Question 2'!A26</f>
        <v>Résultat</v>
      </c>
      <c r="B28" s="11"/>
      <c r="C28" s="11"/>
      <c r="D28" s="11">
        <f>'Mission 1 - Question 2'!D26</f>
        <v>15645.799999999988</v>
      </c>
    </row>
    <row r="29" spans="1:4" x14ac:dyDescent="0.25">
      <c r="A29" t="s">
        <v>35</v>
      </c>
      <c r="D29" s="27">
        <f>D27/D26</f>
        <v>265480.09950248757</v>
      </c>
    </row>
    <row r="30" spans="1:4" x14ac:dyDescent="0.25">
      <c r="D30" s="27"/>
    </row>
    <row r="31" spans="1:4" x14ac:dyDescent="0.25">
      <c r="A31" t="str">
        <f>'Mission 1 - Question 2'!A28</f>
        <v>Hypothèse 3</v>
      </c>
      <c r="B31">
        <f>'Mission 1 - Question 2'!B28</f>
        <v>0.6</v>
      </c>
      <c r="C31">
        <f>'Mission 1 - Question 2'!C28</f>
        <v>0.4</v>
      </c>
    </row>
    <row r="32" spans="1:4" x14ac:dyDescent="0.25">
      <c r="A32" s="11"/>
      <c r="B32" s="11" t="str">
        <f>'Mission 1 - Question 2'!B29</f>
        <v>Appareils</v>
      </c>
      <c r="C32" s="11" t="str">
        <f>'Mission 1 - Question 2'!C29</f>
        <v>Produits</v>
      </c>
      <c r="D32" s="11" t="str">
        <f>'Mission 1 - Question 2'!D29</f>
        <v>Total</v>
      </c>
    </row>
    <row r="33" spans="1:4" x14ac:dyDescent="0.25">
      <c r="A33" s="11" t="str">
        <f>'Mission 1 - Question 2'!A30</f>
        <v>CA</v>
      </c>
      <c r="B33" s="11">
        <f>'Mission 1 - Question 2'!B30</f>
        <v>205470</v>
      </c>
      <c r="C33" s="11">
        <f>'Mission 1 - Question 2'!C30</f>
        <v>121760</v>
      </c>
      <c r="D33" s="11">
        <f>'Mission 1 - Question 2'!D30</f>
        <v>327230</v>
      </c>
    </row>
    <row r="34" spans="1:4" x14ac:dyDescent="0.25">
      <c r="A34" s="11" t="str">
        <f>'Mission 1 - Question 2'!A31</f>
        <v>Coût d'achat des produits</v>
      </c>
      <c r="B34" s="11">
        <f>'Mission 1 - Question 2'!B31</f>
        <v>133327</v>
      </c>
      <c r="C34" s="11">
        <f>'Mission 1 - Question 2'!C31</f>
        <v>62097</v>
      </c>
      <c r="D34" s="11">
        <f>'Mission 1 - Question 2'!D31</f>
        <v>195424</v>
      </c>
    </row>
    <row r="35" spans="1:4" x14ac:dyDescent="0.25">
      <c r="A35" s="11" t="str">
        <f>'Mission 1 - Question 2'!A32</f>
        <v>Marge brute</v>
      </c>
      <c r="B35" s="11">
        <f>'Mission 1 - Question 2'!B32</f>
        <v>72143</v>
      </c>
      <c r="C35" s="11">
        <f>'Mission 1 - Question 2'!C32</f>
        <v>59663</v>
      </c>
      <c r="D35" s="11">
        <f>'Mission 1 - Question 2'!D32</f>
        <v>131806</v>
      </c>
    </row>
    <row r="36" spans="1:4" x14ac:dyDescent="0.25">
      <c r="A36" s="11" t="str">
        <f>'Mission 1 - Question 2'!A33</f>
        <v>Taux de marque</v>
      </c>
      <c r="B36" s="11">
        <f>'Mission 1 - Question 2'!B33</f>
        <v>0.35111208448921982</v>
      </c>
      <c r="C36" s="11">
        <f>'Mission 1 - Question 2'!C33</f>
        <v>0.49000492772667542</v>
      </c>
      <c r="D36" s="11">
        <f>'Mission 1 - Question 2'!D33</f>
        <v>0.40279314243804054</v>
      </c>
    </row>
    <row r="37" spans="1:4" x14ac:dyDescent="0.25">
      <c r="A37" s="11" t="str">
        <f>'Mission 1 - Question 2'!A34</f>
        <v>Charges de structure</v>
      </c>
      <c r="B37" s="11"/>
      <c r="C37" s="11"/>
      <c r="D37" s="11">
        <f>'Mission 1 - Question 2'!D34</f>
        <v>106723</v>
      </c>
    </row>
    <row r="38" spans="1:4" x14ac:dyDescent="0.25">
      <c r="A38" s="11" t="str">
        <f>'Mission 1 - Question 2'!A35</f>
        <v>Résultat</v>
      </c>
      <c r="B38" s="11"/>
      <c r="C38" s="11"/>
      <c r="D38" s="11">
        <f>'Mission 1 - Question 2'!D35</f>
        <v>25083</v>
      </c>
    </row>
    <row r="39" spans="1:4" x14ac:dyDescent="0.25">
      <c r="A39" t="s">
        <v>35</v>
      </c>
      <c r="D39" s="27">
        <f>D37/D36</f>
        <v>264957.34101634216</v>
      </c>
    </row>
    <row r="40" spans="1:4" x14ac:dyDescent="0.25">
      <c r="D40" s="27"/>
    </row>
    <row r="41" spans="1:4" x14ac:dyDescent="0.25">
      <c r="A41" s="11" t="str">
        <f>'Mission 1 - Question 2'!A37</f>
        <v>Hypothèse 4</v>
      </c>
      <c r="B41" s="11">
        <f>'Mission 1 - Question 2'!B37</f>
        <v>0.6</v>
      </c>
      <c r="C41" s="11">
        <f>'Mission 1 - Question 2'!C37</f>
        <v>0.4</v>
      </c>
      <c r="D41" s="11"/>
    </row>
    <row r="42" spans="1:4" x14ac:dyDescent="0.25">
      <c r="A42" s="11"/>
      <c r="B42" s="11" t="str">
        <f>'Mission 1 - Question 2'!B38</f>
        <v>Appareils</v>
      </c>
      <c r="C42" s="11" t="str">
        <f>'Mission 1 - Question 2'!C38</f>
        <v>Produits</v>
      </c>
      <c r="D42" s="11" t="str">
        <f>'Mission 1 - Question 2'!D38</f>
        <v>Total</v>
      </c>
    </row>
    <row r="43" spans="1:4" x14ac:dyDescent="0.25">
      <c r="A43" s="11" t="str">
        <f>'Mission 1 - Question 2'!A39</f>
        <v>CA</v>
      </c>
      <c r="B43" s="11">
        <f>'Mission 1 - Question 2'!B39</f>
        <v>182640</v>
      </c>
      <c r="C43" s="11">
        <f>'Mission 1 - Question 2'!C39</f>
        <v>129788.13186813187</v>
      </c>
      <c r="D43" s="11">
        <f>'Mission 1 - Question 2'!D39</f>
        <v>312428.13186813187</v>
      </c>
    </row>
    <row r="44" spans="1:4" x14ac:dyDescent="0.25">
      <c r="A44" s="11" t="str">
        <f>'Mission 1 - Question 2'!A40</f>
        <v>Coût d'achat des produits</v>
      </c>
      <c r="B44" s="11">
        <f>'Mission 1 - Question 2'!B40</f>
        <v>133327</v>
      </c>
      <c r="C44" s="11">
        <f>'Mission 1 - Question 2'!C40</f>
        <v>62097</v>
      </c>
      <c r="D44" s="11">
        <f>'Mission 1 - Question 2'!D40</f>
        <v>195424</v>
      </c>
    </row>
    <row r="45" spans="1:4" x14ac:dyDescent="0.25">
      <c r="A45" s="11" t="str">
        <f>'Mission 1 - Question 2'!A41</f>
        <v>Marge brute</v>
      </c>
      <c r="B45" s="11">
        <f>'Mission 1 - Question 2'!B41</f>
        <v>49313</v>
      </c>
      <c r="C45" s="11">
        <f>'Mission 1 - Question 2'!C41</f>
        <v>67691.131868131866</v>
      </c>
      <c r="D45" s="11">
        <f>'Mission 1 - Question 2'!D41</f>
        <v>117004.13186813187</v>
      </c>
    </row>
    <row r="46" spans="1:4" x14ac:dyDescent="0.25">
      <c r="A46" s="11" t="str">
        <f>'Mission 1 - Question 2'!A42</f>
        <v>Taux de marque</v>
      </c>
      <c r="B46" s="11">
        <f>'Mission 1 - Question 2'!B42</f>
        <v>0.27000109505037234</v>
      </c>
      <c r="C46" s="11">
        <f>'Mission 1 - Question 2'!C42</f>
        <v>0.52155101467141718</v>
      </c>
      <c r="D46" s="24">
        <f>'Mission 1 - Question 2'!D42</f>
        <v>0.37449934859744449</v>
      </c>
    </row>
    <row r="47" spans="1:4" x14ac:dyDescent="0.25">
      <c r="A47" s="11" t="str">
        <f>'Mission 1 - Question 2'!A43</f>
        <v>Charges de structure</v>
      </c>
      <c r="B47" s="11"/>
      <c r="C47" s="11"/>
      <c r="D47" s="11">
        <f>'Mission 1 - Question 2'!D43</f>
        <v>106723</v>
      </c>
    </row>
    <row r="48" spans="1:4" x14ac:dyDescent="0.25">
      <c r="A48" s="11" t="str">
        <f>'Mission 1 - Question 2'!A44</f>
        <v>Résultat</v>
      </c>
      <c r="B48" s="11"/>
      <c r="C48" s="11"/>
      <c r="D48" s="11">
        <f>'Mission 1 - Question 2'!D44</f>
        <v>10281.131868131866</v>
      </c>
    </row>
    <row r="49" spans="1:4" x14ac:dyDescent="0.25">
      <c r="A49" t="s">
        <v>35</v>
      </c>
      <c r="D49" s="27">
        <f>D47/D46</f>
        <v>284975.12852744188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5"/>
    </sheetView>
  </sheetViews>
  <sheetFormatPr baseColWidth="10" defaultRowHeight="15" x14ac:dyDescent="0.25"/>
  <cols>
    <col min="1" max="1" width="78.7109375" customWidth="1"/>
  </cols>
  <sheetData>
    <row r="1" spans="1:2" x14ac:dyDescent="0.25">
      <c r="A1" s="32" t="s">
        <v>40</v>
      </c>
      <c r="B1">
        <v>500</v>
      </c>
    </row>
    <row r="2" spans="1:2" ht="15.75" x14ac:dyDescent="0.25">
      <c r="A2" s="4" t="s">
        <v>17</v>
      </c>
      <c r="B2">
        <v>2500</v>
      </c>
    </row>
    <row r="3" spans="1:2" ht="15.75" x14ac:dyDescent="0.25">
      <c r="A3" s="4" t="s">
        <v>14</v>
      </c>
      <c r="B3">
        <v>100</v>
      </c>
    </row>
    <row r="4" spans="1:2" ht="15.75" x14ac:dyDescent="0.25">
      <c r="A4" s="4" t="s">
        <v>13</v>
      </c>
      <c r="B4">
        <v>200</v>
      </c>
    </row>
    <row r="5" spans="1:2" x14ac:dyDescent="0.25">
      <c r="B5">
        <f>SUM(B1:B4)</f>
        <v>3300</v>
      </c>
    </row>
    <row r="7" spans="1:2" ht="15.75" x14ac:dyDescent="0.25">
      <c r="A7" s="4" t="s">
        <v>15</v>
      </c>
      <c r="B7">
        <v>20</v>
      </c>
    </row>
    <row r="9" spans="1:2" x14ac:dyDescent="0.25">
      <c r="A9" t="s">
        <v>16</v>
      </c>
      <c r="B9">
        <f>B5/B7</f>
        <v>165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F16" sqref="F16"/>
    </sheetView>
  </sheetViews>
  <sheetFormatPr baseColWidth="10" defaultRowHeight="15" x14ac:dyDescent="0.25"/>
  <cols>
    <col min="1" max="1" width="42.28515625" customWidth="1"/>
  </cols>
  <sheetData>
    <row r="1" spans="1:7" ht="15.75" x14ac:dyDescent="0.25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spans="1:7" ht="15.75" x14ac:dyDescent="0.25">
      <c r="A2" s="7" t="s">
        <v>28</v>
      </c>
      <c r="B2" s="6">
        <f>384/1.2</f>
        <v>320</v>
      </c>
      <c r="C2" s="6">
        <f t="shared" ref="C2:E2" si="0">384/1.2</f>
        <v>320</v>
      </c>
      <c r="D2" s="6">
        <f t="shared" si="0"/>
        <v>320</v>
      </c>
      <c r="E2" s="6">
        <f t="shared" si="0"/>
        <v>320</v>
      </c>
      <c r="F2" t="s">
        <v>29</v>
      </c>
    </row>
    <row r="3" spans="1:7" ht="15.75" x14ac:dyDescent="0.25">
      <c r="A3" s="5" t="s">
        <v>26</v>
      </c>
      <c r="B3" s="6">
        <v>240</v>
      </c>
      <c r="C3" s="6">
        <v>240</v>
      </c>
      <c r="D3" s="6">
        <v>240</v>
      </c>
      <c r="E3" s="6">
        <v>240</v>
      </c>
    </row>
    <row r="4" spans="1:7" ht="15.75" x14ac:dyDescent="0.25">
      <c r="A4" s="5" t="s">
        <v>27</v>
      </c>
      <c r="B4" s="6"/>
      <c r="C4" s="6">
        <v>20</v>
      </c>
      <c r="D4" s="6">
        <v>20</v>
      </c>
      <c r="E4" s="6">
        <v>20</v>
      </c>
    </row>
    <row r="5" spans="1:7" ht="15.75" x14ac:dyDescent="0.25">
      <c r="A5" s="5" t="s">
        <v>24</v>
      </c>
      <c r="B5" s="6">
        <f>'Mission 2 - Question 4'!B9</f>
        <v>165</v>
      </c>
      <c r="C5" s="6"/>
      <c r="D5" s="6"/>
      <c r="E5" s="6"/>
    </row>
    <row r="6" spans="1:7" ht="15.75" x14ac:dyDescent="0.25">
      <c r="A6" s="5" t="s">
        <v>25</v>
      </c>
      <c r="B6" s="6">
        <f>B2-B3-B4-B5</f>
        <v>-85</v>
      </c>
      <c r="C6" s="6">
        <f>C2-C3-C4-C5</f>
        <v>60</v>
      </c>
      <c r="D6" s="6">
        <f>D2-D3-D4-D5</f>
        <v>60</v>
      </c>
      <c r="E6" s="6">
        <f>E2-E3-E4-E5</f>
        <v>60</v>
      </c>
      <c r="F6" s="8">
        <f>SUM(B6:E6)</f>
        <v>95</v>
      </c>
      <c r="G6" s="9"/>
    </row>
    <row r="7" spans="1:7" ht="15.75" x14ac:dyDescent="0.25">
      <c r="A7" s="5" t="s">
        <v>23</v>
      </c>
      <c r="B7" s="6"/>
      <c r="C7" s="6"/>
      <c r="D7" s="6"/>
      <c r="E7" s="6"/>
    </row>
    <row r="8" spans="1:7" ht="15.75" x14ac:dyDescent="0.25">
      <c r="A8" s="10" t="s">
        <v>30</v>
      </c>
      <c r="B8" s="12"/>
      <c r="C8" s="12"/>
      <c r="D8" s="12"/>
      <c r="E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C6" sqref="C6:E6"/>
    </sheetView>
  </sheetViews>
  <sheetFormatPr baseColWidth="10" defaultRowHeight="15" x14ac:dyDescent="0.25"/>
  <cols>
    <col min="1" max="1" width="34.42578125" customWidth="1"/>
    <col min="2" max="5" width="18" customWidth="1"/>
  </cols>
  <sheetData>
    <row r="1" spans="1:7" ht="17.25" customHeight="1" x14ac:dyDescent="0.25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31" t="s">
        <v>4</v>
      </c>
    </row>
    <row r="2" spans="1:7" ht="17.25" customHeight="1" x14ac:dyDescent="0.25">
      <c r="A2" s="7" t="s">
        <v>28</v>
      </c>
      <c r="B2" s="6">
        <f>384/1.2</f>
        <v>320</v>
      </c>
      <c r="C2" s="6">
        <f t="shared" ref="C2:E2" si="0">384/1.2</f>
        <v>320</v>
      </c>
      <c r="D2" s="6">
        <f t="shared" si="0"/>
        <v>320</v>
      </c>
      <c r="E2" s="6">
        <f t="shared" si="0"/>
        <v>320</v>
      </c>
    </row>
    <row r="3" spans="1:7" ht="17.25" customHeight="1" x14ac:dyDescent="0.25">
      <c r="A3" s="5" t="s">
        <v>26</v>
      </c>
      <c r="B3" s="6">
        <v>240</v>
      </c>
      <c r="C3" s="6">
        <v>240</v>
      </c>
      <c r="D3" s="6">
        <v>240</v>
      </c>
      <c r="E3" s="6">
        <v>240</v>
      </c>
    </row>
    <row r="4" spans="1:7" ht="17.25" customHeight="1" x14ac:dyDescent="0.25">
      <c r="A4" s="5" t="s">
        <v>27</v>
      </c>
      <c r="B4" s="6"/>
      <c r="C4" s="6">
        <v>20</v>
      </c>
      <c r="D4" s="6">
        <v>20</v>
      </c>
      <c r="E4" s="6">
        <v>20</v>
      </c>
    </row>
    <row r="5" spans="1:7" ht="17.25" customHeight="1" x14ac:dyDescent="0.25">
      <c r="A5" s="5" t="s">
        <v>24</v>
      </c>
      <c r="B5" s="6">
        <f>'Mission 2 - Question 4'!B9</f>
        <v>165</v>
      </c>
      <c r="C5" s="6"/>
      <c r="D5" s="6"/>
      <c r="E5" s="6"/>
    </row>
    <row r="6" spans="1:7" ht="17.25" customHeight="1" x14ac:dyDescent="0.25">
      <c r="A6" s="5" t="s">
        <v>25</v>
      </c>
      <c r="B6" s="6">
        <f>B2-B3-B4-B5</f>
        <v>-85</v>
      </c>
      <c r="C6" s="6">
        <f t="shared" ref="C6:E6" si="1">C2-C3-C4-C5</f>
        <v>60</v>
      </c>
      <c r="D6" s="6">
        <f t="shared" si="1"/>
        <v>60</v>
      </c>
      <c r="E6" s="6">
        <f t="shared" si="1"/>
        <v>60</v>
      </c>
    </row>
    <row r="7" spans="1:7" ht="17.25" customHeight="1" x14ac:dyDescent="0.25">
      <c r="A7" s="37" t="s">
        <v>23</v>
      </c>
      <c r="B7" s="6"/>
      <c r="C7" s="6" t="s">
        <v>37</v>
      </c>
      <c r="D7" s="6" t="s">
        <v>36</v>
      </c>
      <c r="E7" s="6" t="s">
        <v>38</v>
      </c>
    </row>
    <row r="8" spans="1:7" ht="17.25" customHeight="1" x14ac:dyDescent="0.25">
      <c r="A8" s="38"/>
      <c r="B8" s="6">
        <v>20</v>
      </c>
      <c r="C8" s="6">
        <f>20*0.8</f>
        <v>16</v>
      </c>
      <c r="D8" s="6">
        <v>14</v>
      </c>
      <c r="E8" s="6">
        <v>13</v>
      </c>
    </row>
    <row r="9" spans="1:7" ht="17.25" customHeight="1" x14ac:dyDescent="0.25">
      <c r="A9" s="28" t="s">
        <v>30</v>
      </c>
      <c r="B9" s="29">
        <f>B8*B6</f>
        <v>-1700</v>
      </c>
      <c r="C9" s="29">
        <f t="shared" ref="C9:E9" si="2">C8*C6</f>
        <v>960</v>
      </c>
      <c r="D9" s="29">
        <f t="shared" si="2"/>
        <v>840</v>
      </c>
      <c r="E9" s="29">
        <f t="shared" si="2"/>
        <v>780</v>
      </c>
      <c r="F9" s="30">
        <f>SUM(B9:E9)</f>
        <v>880</v>
      </c>
      <c r="G9" s="9"/>
    </row>
    <row r="10" spans="1:7" ht="17.25" customHeight="1" x14ac:dyDescent="0.25">
      <c r="A10" s="10" t="s">
        <v>39</v>
      </c>
      <c r="B10" s="11"/>
      <c r="C10" s="11"/>
      <c r="D10" s="11"/>
      <c r="E10" s="11"/>
      <c r="F10" s="12">
        <f>F9/20</f>
        <v>44</v>
      </c>
    </row>
  </sheetData>
  <mergeCells count="1">
    <mergeCell ref="A7:A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18" sqref="E18"/>
    </sheetView>
  </sheetViews>
  <sheetFormatPr baseColWidth="10" defaultRowHeight="15" x14ac:dyDescent="0.25"/>
  <cols>
    <col min="1" max="1" width="35.42578125" customWidth="1"/>
    <col min="2" max="5" width="20.5703125" customWidth="1"/>
  </cols>
  <sheetData>
    <row r="1" spans="1:6" ht="19.5" customHeight="1" x14ac:dyDescent="0.25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33" t="s">
        <v>4</v>
      </c>
    </row>
    <row r="2" spans="1:6" ht="19.5" customHeight="1" x14ac:dyDescent="0.25">
      <c r="A2" s="7" t="s">
        <v>28</v>
      </c>
      <c r="B2" s="6">
        <f>384/1.2</f>
        <v>320</v>
      </c>
      <c r="C2" s="6">
        <f t="shared" ref="C2:E2" si="0">384/1.2</f>
        <v>320</v>
      </c>
      <c r="D2" s="6">
        <f t="shared" si="0"/>
        <v>320</v>
      </c>
      <c r="E2" s="6">
        <f t="shared" si="0"/>
        <v>320</v>
      </c>
      <c r="F2" s="34"/>
    </row>
    <row r="3" spans="1:6" ht="19.5" customHeight="1" x14ac:dyDescent="0.25">
      <c r="A3" s="5" t="s">
        <v>26</v>
      </c>
      <c r="B3" s="6">
        <v>240</v>
      </c>
      <c r="C3" s="6">
        <v>240</v>
      </c>
      <c r="D3" s="6">
        <v>240</v>
      </c>
      <c r="E3" s="6">
        <v>240</v>
      </c>
      <c r="F3" s="35"/>
    </row>
    <row r="4" spans="1:6" ht="19.5" customHeight="1" x14ac:dyDescent="0.25">
      <c r="A4" s="5" t="s">
        <v>27</v>
      </c>
      <c r="B4" s="6"/>
      <c r="C4" s="6">
        <v>40</v>
      </c>
      <c r="D4" s="6">
        <v>40</v>
      </c>
      <c r="E4" s="6">
        <v>40</v>
      </c>
      <c r="F4" s="35"/>
    </row>
    <row r="5" spans="1:6" ht="19.5" customHeight="1" x14ac:dyDescent="0.25">
      <c r="A5" s="5" t="s">
        <v>24</v>
      </c>
      <c r="B5" s="6">
        <f>'Mission 2 - Question 4'!B9</f>
        <v>165</v>
      </c>
      <c r="C5" s="6"/>
      <c r="D5" s="6"/>
      <c r="E5" s="6"/>
      <c r="F5" s="35"/>
    </row>
    <row r="6" spans="1:6" ht="19.5" customHeight="1" x14ac:dyDescent="0.25">
      <c r="A6" s="5" t="s">
        <v>25</v>
      </c>
      <c r="B6" s="6">
        <f>B2-B3-B4-B5</f>
        <v>-85</v>
      </c>
      <c r="C6" s="6">
        <f>C2-C3-C4-C5</f>
        <v>40</v>
      </c>
      <c r="D6" s="6">
        <f>D2-D3-D4-D5</f>
        <v>40</v>
      </c>
      <c r="E6" s="6">
        <f>E2-E3-E4-E5</f>
        <v>40</v>
      </c>
      <c r="F6" s="35"/>
    </row>
    <row r="7" spans="1:6" ht="19.5" customHeight="1" x14ac:dyDescent="0.25">
      <c r="A7" s="37" t="s">
        <v>23</v>
      </c>
      <c r="B7" s="6"/>
      <c r="C7" s="6" t="s">
        <v>41</v>
      </c>
      <c r="D7" s="6" t="s">
        <v>42</v>
      </c>
      <c r="E7" s="6" t="s">
        <v>43</v>
      </c>
      <c r="F7" s="35"/>
    </row>
    <row r="8" spans="1:6" ht="19.5" customHeight="1" x14ac:dyDescent="0.25">
      <c r="A8" s="38"/>
      <c r="B8" s="6">
        <v>20</v>
      </c>
      <c r="C8" s="6">
        <f>B8*0.9</f>
        <v>18</v>
      </c>
      <c r="D8" s="6">
        <v>17</v>
      </c>
      <c r="E8" s="6">
        <v>16</v>
      </c>
      <c r="F8" s="36"/>
    </row>
    <row r="9" spans="1:6" ht="19.5" customHeight="1" x14ac:dyDescent="0.25">
      <c r="A9" s="28" t="s">
        <v>30</v>
      </c>
      <c r="B9" s="29">
        <f>B8*B6</f>
        <v>-1700</v>
      </c>
      <c r="C9" s="29">
        <f t="shared" ref="C9:E9" si="1">C8*C6</f>
        <v>720</v>
      </c>
      <c r="D9" s="29">
        <f t="shared" si="1"/>
        <v>680</v>
      </c>
      <c r="E9" s="29">
        <f t="shared" si="1"/>
        <v>640</v>
      </c>
      <c r="F9" s="30">
        <f>SUM(B9:E9)</f>
        <v>340</v>
      </c>
    </row>
    <row r="10" spans="1:6" ht="19.5" customHeight="1" x14ac:dyDescent="0.25">
      <c r="A10" s="10" t="s">
        <v>39</v>
      </c>
      <c r="B10" s="11"/>
      <c r="C10" s="11"/>
      <c r="D10" s="11"/>
      <c r="E10" s="11"/>
      <c r="F10" s="12">
        <f>F9/20</f>
        <v>17</v>
      </c>
    </row>
  </sheetData>
  <mergeCells count="1"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Mission 1 - Question 1</vt:lpstr>
      <vt:lpstr>Mission 1 - Question 2</vt:lpstr>
      <vt:lpstr>Mission 1 - Question 3</vt:lpstr>
      <vt:lpstr>Mission 2 - Question 4</vt:lpstr>
      <vt:lpstr>Mission 2 - Question 5</vt:lpstr>
      <vt:lpstr>Mission 2 - Question 6</vt:lpstr>
      <vt:lpstr>Mission 2 - Question 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2018-11-26T09:41:28Z</dcterms:created>
  <dcterms:modified xsi:type="dcterms:W3CDTF">2018-12-07T15:16:40Z</dcterms:modified>
</cp:coreProperties>
</file>