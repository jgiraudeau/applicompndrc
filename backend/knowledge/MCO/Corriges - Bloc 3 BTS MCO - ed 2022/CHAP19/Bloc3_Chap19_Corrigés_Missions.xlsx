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fa\Documents\Foucher 2021\BLOC 3 2021 AVEC CORRECTIONS\CHAPITRES CORRIGES 2021 BLOC 3 PDF\BLOC 3 FICHIERS EXCEL\"/>
    </mc:Choice>
  </mc:AlternateContent>
  <bookViews>
    <workbookView xWindow="960" yWindow="945" windowWidth="16995" windowHeight="6570"/>
  </bookViews>
  <sheets>
    <sheet name="Corrigé Q1 à 6 - cas CH19" sheetId="5" r:id="rId1"/>
  </sheets>
  <calcPr calcId="162913"/>
</workbook>
</file>

<file path=xl/calcChain.xml><?xml version="1.0" encoding="utf-8"?>
<calcChain xmlns="http://schemas.openxmlformats.org/spreadsheetml/2006/main">
  <c r="B88" i="5" l="1"/>
  <c r="C83" i="5"/>
  <c r="B83" i="5"/>
  <c r="C82" i="5"/>
  <c r="D82" i="5"/>
  <c r="B82" i="5"/>
  <c r="B80" i="5"/>
  <c r="B75" i="5"/>
  <c r="C40" i="5"/>
  <c r="D40" i="5"/>
  <c r="B40" i="5"/>
  <c r="C55" i="5"/>
  <c r="C60" i="5" s="1"/>
  <c r="D55" i="5"/>
  <c r="D60" i="5" s="1"/>
  <c r="C56" i="5"/>
  <c r="D56" i="5"/>
  <c r="C57" i="5"/>
  <c r="D57" i="5"/>
  <c r="B57" i="5"/>
  <c r="D58" i="5" s="1"/>
  <c r="B56" i="5"/>
  <c r="B55" i="5"/>
  <c r="B60" i="5" s="1"/>
  <c r="C21" i="5"/>
  <c r="C22" i="5" s="1"/>
  <c r="C23" i="5" s="1"/>
  <c r="D21" i="5"/>
  <c r="D22" i="5" s="1"/>
  <c r="B21" i="5"/>
  <c r="B22" i="5" s="1"/>
  <c r="C16" i="5"/>
  <c r="C39" i="5" s="1"/>
  <c r="D16" i="5"/>
  <c r="D39" i="5" s="1"/>
  <c r="B16" i="5"/>
  <c r="B17" i="5" s="1"/>
  <c r="C58" i="5" l="1"/>
  <c r="C59" i="5"/>
  <c r="C61" i="5" s="1"/>
  <c r="C81" i="5" s="1"/>
  <c r="D59" i="5"/>
  <c r="D61" i="5" s="1"/>
  <c r="D81" i="5" s="1"/>
  <c r="B58" i="5"/>
  <c r="B59" i="5" s="1"/>
  <c r="B61" i="5" s="1"/>
  <c r="B81" i="5" s="1"/>
  <c r="B84" i="5" s="1"/>
  <c r="B90" i="5" s="1"/>
  <c r="B39" i="5"/>
  <c r="D26" i="5"/>
  <c r="D27" i="5" s="1"/>
  <c r="D28" i="5" s="1"/>
  <c r="D74" i="5" s="1"/>
  <c r="D76" i="5" s="1"/>
  <c r="D89" i="5" s="1"/>
  <c r="C26" i="5"/>
  <c r="C27" i="5" s="1"/>
  <c r="C28" i="5" s="1"/>
  <c r="C74" i="5" s="1"/>
  <c r="C76" i="5" s="1"/>
  <c r="C89" i="5" s="1"/>
  <c r="D41" i="5"/>
  <c r="C41" i="5"/>
  <c r="C42" i="5" s="1"/>
  <c r="C43" i="5" s="1"/>
  <c r="D80" i="5" s="1"/>
  <c r="D23" i="5"/>
  <c r="B26" i="5"/>
  <c r="B27" i="5" s="1"/>
  <c r="B23" i="5"/>
  <c r="D17" i="5"/>
  <c r="D18" i="5" s="1"/>
  <c r="C17" i="5"/>
  <c r="C18" i="5" s="1"/>
  <c r="B18" i="5"/>
  <c r="D84" i="5" l="1"/>
  <c r="D90" i="5" s="1"/>
  <c r="D42" i="5"/>
  <c r="D43" i="5" s="1"/>
  <c r="B41" i="5"/>
  <c r="B28" i="5"/>
  <c r="B74" i="5" s="1"/>
  <c r="B76" i="5" s="1"/>
  <c r="B89" i="5" s="1"/>
  <c r="B91" i="5" s="1"/>
  <c r="C88" i="5" s="1"/>
  <c r="B42" i="5" l="1"/>
  <c r="B43" i="5" s="1"/>
  <c r="C80" i="5" s="1"/>
  <c r="C84" i="5" s="1"/>
  <c r="C90" i="5" s="1"/>
  <c r="C91" i="5" s="1"/>
  <c r="D88" i="5" s="1"/>
  <c r="D91" i="5" s="1"/>
</calcChain>
</file>

<file path=xl/sharedStrings.xml><?xml version="1.0" encoding="utf-8"?>
<sst xmlns="http://schemas.openxmlformats.org/spreadsheetml/2006/main" count="116" uniqueCount="79">
  <si>
    <t>Total</t>
  </si>
  <si>
    <t>Coefficients saisonniers</t>
  </si>
  <si>
    <t>CHAP 19 ETABLIR ET SUIVRE LES BUDGETS- CAS LES CAPRICES DE CLEA</t>
  </si>
  <si>
    <t>Mission 1 Etablir les budgets d'exploitation</t>
  </si>
  <si>
    <t>1. Établissez le budget des ventes pour les trois mois en distinguant les deux activités du magasin.</t>
  </si>
  <si>
    <t>octobre</t>
  </si>
  <si>
    <t>novembre</t>
  </si>
  <si>
    <t>décembre</t>
  </si>
  <si>
    <t>Taux de TVA:</t>
  </si>
  <si>
    <t>Activité Bijoux Fantaisie</t>
  </si>
  <si>
    <t>Activité Maroquinerie et acessoires</t>
  </si>
  <si>
    <t xml:space="preserve"> Activité Bijoux Fantaisie</t>
  </si>
  <si>
    <t>Répartition du chiffre d’affaires prévisionnel HT</t>
  </si>
  <si>
    <t xml:space="preserve"> Activité Maroquinerie et acessoires</t>
  </si>
  <si>
    <t>Activité bijoux fantaisie</t>
  </si>
  <si>
    <t>Octobre</t>
  </si>
  <si>
    <t>Novembre</t>
  </si>
  <si>
    <t>Décembre</t>
  </si>
  <si>
    <t>CA HT</t>
  </si>
  <si>
    <t>TVA 20 %</t>
  </si>
  <si>
    <t>CA TTC</t>
  </si>
  <si>
    <t>Budget des ventes</t>
  </si>
  <si>
    <t>Activité maroquinerie et accessoires</t>
  </si>
  <si>
    <t>3. Établissez le budget des charges pour les trois mois.</t>
  </si>
  <si>
    <t>2. Présentez le budget des approvisionnements pour les trois mois en distinguant les deux activités du magasin.</t>
  </si>
  <si>
    <t>Achats HT Activité bijoux fantaisie</t>
  </si>
  <si>
    <t>Achats HT Activité maroquinerie et accessoires</t>
  </si>
  <si>
    <t>Total achats HT</t>
  </si>
  <si>
    <t>Achats TTC</t>
  </si>
  <si>
    <t>Total charges HT soumises à TVA</t>
  </si>
  <si>
    <t>Charges non soumises à TVA</t>
  </si>
  <si>
    <t>Salaires</t>
  </si>
  <si>
    <t>Charges sociales</t>
  </si>
  <si>
    <t>Total budget des charges HT</t>
  </si>
  <si>
    <t>TVA sur charges</t>
  </si>
  <si>
    <t>Budget des charges TTC</t>
  </si>
  <si>
    <t>budget des approvisionnements</t>
  </si>
  <si>
    <t> Prévision des charges</t>
  </si>
  <si>
    <t>Charges non soumises à la TVA</t>
  </si>
  <si>
    <t>TVA à payer à l’Etat</t>
  </si>
  <si>
    <t>Solde des comptes « banque et caisse » au 30 septembre:</t>
  </si>
  <si>
    <t>Dettes envers les organismes sociaux (charges sociales) à fin septembre :</t>
  </si>
  <si>
    <t xml:space="preserve">budget des charges </t>
  </si>
  <si>
    <t>Dettes fournisseurs au 30 septembre:</t>
  </si>
  <si>
    <t>Montant des salaires versés par mois:</t>
  </si>
  <si>
    <t>Charges sociales en% des salaires:</t>
  </si>
  <si>
    <t>Les achats sont payés aux fournisseurs à 30 jours</t>
  </si>
  <si>
    <t>Charges HT soumises à la TVA de 20%</t>
  </si>
  <si>
    <t>Coût d'achat des bijoux fantaisie en % du prix de vente HT (TVA 20%):</t>
  </si>
  <si>
    <t>Prévision des achats HT Maroquinerie et acessoires (TVA 20%):</t>
  </si>
  <si>
    <t>Mission 2 Élaborer le budget de trésorerie</t>
  </si>
  <si>
    <t>4. Présentez le tableau des encaissements prévisionnels pour les trois mois.</t>
  </si>
  <si>
    <t>Montant HT (TVA 20%) du devis proposé par le fournisseur:</t>
  </si>
  <si>
    <t>Paiement du fournisseur d'immobilisation : moitié septembre, moitié octobre</t>
  </si>
  <si>
    <t>Travaux d’aménagement prévus en octobre</t>
  </si>
  <si>
    <t>Financement de l'investissement par emprunt bancaire, versé en novembre:</t>
  </si>
  <si>
    <t>Emprunt obtenu auprès de la banque</t>
  </si>
  <si>
    <t>Total encaissements</t>
  </si>
  <si>
    <t xml:space="preserve"> tableau des encaissements</t>
  </si>
  <si>
    <t>5. Présentez le tableau des décaissements prévisionnels pour les trois mois.</t>
  </si>
  <si>
    <t>Paiement de l’investissement</t>
  </si>
  <si>
    <r>
      <t>Ventes comptant</t>
    </r>
    <r>
      <rPr>
        <b/>
        <sz val="12"/>
        <color theme="1"/>
        <rFont val="Calibri"/>
        <family val="2"/>
        <scheme val="minor"/>
      </rPr>
      <t xml:space="preserve"> TTC </t>
    </r>
  </si>
  <si>
    <t>Charges TTC payées le mois même </t>
  </si>
  <si>
    <t>TVA payée à l’État </t>
  </si>
  <si>
    <r>
      <t>Achats</t>
    </r>
    <r>
      <rPr>
        <b/>
        <sz val="12"/>
        <color theme="1"/>
        <rFont val="Calibri"/>
        <family val="2"/>
        <scheme val="minor"/>
      </rPr>
      <t xml:space="preserve"> TTC</t>
    </r>
    <r>
      <rPr>
        <sz val="12"/>
        <color theme="1"/>
        <rFont val="Calibri"/>
        <family val="2"/>
        <scheme val="minor"/>
      </rPr>
      <t xml:space="preserve"> payés à 30 j</t>
    </r>
  </si>
  <si>
    <t>6. Présentez le budget de trésorerie pour les trois mois.</t>
  </si>
  <si>
    <t>Solde début de mois</t>
  </si>
  <si>
    <t>+ Encaissements</t>
  </si>
  <si>
    <t>– Décaissements</t>
  </si>
  <si>
    <t>= Solde de trésorerie de fin de mois</t>
  </si>
  <si>
    <t>Chiffre d’affaires prévisionnel HT du magasin (la clientèle paie comptant).</t>
  </si>
  <si>
    <t xml:space="preserve"> tableau des décaissements</t>
  </si>
  <si>
    <t xml:space="preserve">budget de trésorerie </t>
  </si>
  <si>
    <t>Total des deux activités: bijoux fantaisie et maroquinerie-accessoires</t>
  </si>
  <si>
    <t>Ressource 1: Mail de Cléa Papin</t>
  </si>
  <si>
    <t>Ressource 5: Discussion avec Cléa Papin sur les conditions d'approvisionnements</t>
  </si>
  <si>
    <t>Ressource 6: Note de Cléa Papin</t>
  </si>
  <si>
    <t>Ressource 7: Mémo de Cléa Papin</t>
  </si>
  <si>
    <t>Ressource 10: Note de Cléa Papin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</si>
</sst>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2" formatCode="_-* #,##0\ &quot;€&quot;_-;\-* #,##0\ &quot;€&quot;_-;_-* &quot;-&quot;\ &quot;€&quot;_-;_-@_-"/>
    <numFmt numFmtId="44" formatCode="_-* #,##0.00\ &quot;€&quot;_-;\-* #,##0.00\ &quot;€&quot;_-;_-* &quot;-&quot;??\ &quot;€&quot;_-;_-@_-"/>
    <numFmt numFmtId="164" formatCode="#,##0.00\ &quot;€&quot;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00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00FFFF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6">
    <xf numFmtId="0" fontId="0" fillId="0" borderId="0" xfId="0"/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/>
    <xf numFmtId="0" fontId="3" fillId="2" borderId="0" xfId="0" applyFont="1" applyFill="1"/>
    <xf numFmtId="0" fontId="3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vertical="center"/>
    </xf>
    <xf numFmtId="0" fontId="3" fillId="0" borderId="0" xfId="0" applyFont="1" applyFill="1"/>
    <xf numFmtId="0" fontId="6" fillId="2" borderId="0" xfId="0" applyFont="1" applyFill="1" applyAlignment="1">
      <alignment horizontal="left" vertical="center"/>
    </xf>
    <xf numFmtId="0" fontId="2" fillId="3" borderId="0" xfId="0" applyFont="1" applyFill="1"/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6" fillId="6" borderId="0" xfId="0" applyFont="1" applyFill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2" fillId="4" borderId="0" xfId="0" applyFont="1" applyFill="1"/>
    <xf numFmtId="0" fontId="3" fillId="0" borderId="0" xfId="0" applyFont="1" applyBorder="1"/>
    <xf numFmtId="0" fontId="5" fillId="0" borderId="1" xfId="0" applyFont="1" applyBorder="1" applyAlignment="1">
      <alignment vertical="center"/>
    </xf>
    <xf numFmtId="0" fontId="6" fillId="7" borderId="0" xfId="0" applyFont="1" applyFill="1" applyAlignment="1">
      <alignment horizontal="left" vertical="center"/>
    </xf>
    <xf numFmtId="0" fontId="3" fillId="4" borderId="0" xfId="0" applyFont="1" applyFill="1"/>
    <xf numFmtId="0" fontId="3" fillId="0" borderId="1" xfId="0" applyFont="1" applyBorder="1" applyAlignment="1">
      <alignment vertical="center"/>
    </xf>
    <xf numFmtId="0" fontId="7" fillId="4" borderId="0" xfId="0" applyFont="1" applyFill="1"/>
    <xf numFmtId="0" fontId="5" fillId="0" borderId="4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2" fillId="0" borderId="0" xfId="0" applyFont="1" applyFill="1"/>
    <xf numFmtId="0" fontId="5" fillId="0" borderId="1" xfId="0" applyFont="1" applyFill="1" applyBorder="1" applyAlignment="1">
      <alignment horizontal="left" vertical="center" wrapText="1"/>
    </xf>
    <xf numFmtId="42" fontId="3" fillId="0" borderId="1" xfId="2" applyNumberFormat="1" applyFont="1" applyFill="1" applyBorder="1" applyAlignment="1">
      <alignment vertical="center"/>
    </xf>
    <xf numFmtId="9" fontId="3" fillId="0" borderId="1" xfId="1" applyNumberFormat="1" applyFont="1" applyBorder="1" applyAlignment="1">
      <alignment vertical="center"/>
    </xf>
    <xf numFmtId="0" fontId="5" fillId="0" borderId="1" xfId="0" applyFont="1" applyFill="1" applyBorder="1" applyAlignment="1">
      <alignment horizontal="center" vertical="center" wrapText="1"/>
    </xf>
    <xf numFmtId="9" fontId="3" fillId="0" borderId="1" xfId="1" applyNumberFormat="1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9" fontId="3" fillId="0" borderId="0" xfId="0" applyNumberFormat="1" applyFont="1" applyBorder="1" applyAlignment="1">
      <alignment horizontal="center" vertical="center"/>
    </xf>
    <xf numFmtId="42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wrapText="1"/>
    </xf>
    <xf numFmtId="9" fontId="3" fillId="0" borderId="1" xfId="1" applyFont="1" applyBorder="1"/>
    <xf numFmtId="42" fontId="3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/>
    </xf>
    <xf numFmtId="44" fontId="3" fillId="0" borderId="1" xfId="0" applyNumberFormat="1" applyFont="1" applyBorder="1" applyAlignment="1">
      <alignment horizontal="right" vertical="center"/>
    </xf>
    <xf numFmtId="44" fontId="2" fillId="0" borderId="1" xfId="0" applyNumberFormat="1" applyFont="1" applyBorder="1" applyAlignment="1">
      <alignment horizontal="right" vertical="center"/>
    </xf>
    <xf numFmtId="0" fontId="2" fillId="0" borderId="0" xfId="0" applyFont="1" applyFill="1" applyAlignment="1">
      <alignment wrapText="1"/>
    </xf>
    <xf numFmtId="0" fontId="5" fillId="0" borderId="0" xfId="0" applyFont="1" applyBorder="1" applyAlignment="1">
      <alignment vertical="center" wrapText="1"/>
    </xf>
    <xf numFmtId="42" fontId="3" fillId="0" borderId="0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42" fontId="7" fillId="0" borderId="1" xfId="0" applyNumberFormat="1" applyFont="1" applyBorder="1" applyAlignment="1">
      <alignment horizontal="center" vertical="center"/>
    </xf>
    <xf numFmtId="0" fontId="6" fillId="4" borderId="0" xfId="0" applyFont="1" applyFill="1" applyAlignment="1">
      <alignment horizontal="left" vertical="center"/>
    </xf>
    <xf numFmtId="0" fontId="6" fillId="8" borderId="0" xfId="0" applyFont="1" applyFill="1" applyAlignment="1">
      <alignment horizontal="left" vertical="center"/>
    </xf>
    <xf numFmtId="9" fontId="5" fillId="0" borderId="0" xfId="0" applyNumberFormat="1" applyFont="1" applyAlignment="1">
      <alignment horizontal="center" vertical="center"/>
    </xf>
    <xf numFmtId="0" fontId="7" fillId="5" borderId="0" xfId="0" applyFont="1" applyFill="1"/>
    <xf numFmtId="164" fontId="5" fillId="0" borderId="3" xfId="0" applyNumberFormat="1" applyFont="1" applyBorder="1" applyAlignment="1">
      <alignment horizontal="center" vertical="center"/>
    </xf>
    <xf numFmtId="42" fontId="5" fillId="0" borderId="2" xfId="0" applyNumberFormat="1" applyFont="1" applyBorder="1" applyAlignment="1">
      <alignment horizontal="center" vertical="center"/>
    </xf>
    <xf numFmtId="42" fontId="5" fillId="0" borderId="3" xfId="0" applyNumberFormat="1" applyFont="1" applyBorder="1" applyAlignment="1">
      <alignment horizontal="center" vertical="center"/>
    </xf>
    <xf numFmtId="0" fontId="5" fillId="0" borderId="0" xfId="0" applyFont="1" applyFill="1"/>
    <xf numFmtId="42" fontId="5" fillId="0" borderId="1" xfId="0" applyNumberFormat="1" applyFont="1" applyBorder="1" applyAlignment="1">
      <alignment horizontal="center" vertical="center"/>
    </xf>
    <xf numFmtId="42" fontId="2" fillId="0" borderId="1" xfId="0" applyNumberFormat="1" applyFont="1" applyBorder="1" applyAlignment="1">
      <alignment horizontal="right" vertical="center"/>
    </xf>
    <xf numFmtId="44" fontId="3" fillId="0" borderId="1" xfId="0" applyNumberFormat="1" applyFont="1" applyBorder="1"/>
    <xf numFmtId="42" fontId="5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42" fontId="3" fillId="0" borderId="0" xfId="0" applyNumberFormat="1" applyFont="1"/>
    <xf numFmtId="164" fontId="3" fillId="0" borderId="1" xfId="0" applyNumberFormat="1" applyFont="1" applyBorder="1" applyAlignment="1">
      <alignment horizontal="right" vertical="center"/>
    </xf>
    <xf numFmtId="0" fontId="3" fillId="0" borderId="5" xfId="0" applyFont="1" applyBorder="1" applyAlignment="1">
      <alignment vertical="center"/>
    </xf>
    <xf numFmtId="0" fontId="2" fillId="0" borderId="5" xfId="0" quotePrefix="1" applyFont="1" applyBorder="1" applyAlignment="1">
      <alignment vertical="center"/>
    </xf>
    <xf numFmtId="0" fontId="3" fillId="0" borderId="0" xfId="0" applyFont="1" applyFill="1" applyAlignment="1">
      <alignment wrapText="1"/>
    </xf>
    <xf numFmtId="42" fontId="2" fillId="0" borderId="1" xfId="0" applyNumberFormat="1" applyFont="1" applyBorder="1" applyAlignment="1">
      <alignment horizontal="center" vertical="center"/>
    </xf>
    <xf numFmtId="0" fontId="2" fillId="9" borderId="1" xfId="0" applyFont="1" applyFill="1" applyBorder="1"/>
    <xf numFmtId="0" fontId="2" fillId="9" borderId="0" xfId="0" applyFont="1" applyFill="1" applyBorder="1"/>
    <xf numFmtId="0" fontId="2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2" fillId="10" borderId="1" xfId="0" applyFont="1" applyFill="1" applyBorder="1"/>
    <xf numFmtId="0" fontId="3" fillId="0" borderId="5" xfId="0" applyFont="1" applyFill="1" applyBorder="1" applyAlignment="1">
      <alignment horizontal="center" wrapText="1"/>
    </xf>
    <xf numFmtId="0" fontId="3" fillId="0" borderId="2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3" fillId="7" borderId="0" xfId="0" applyFont="1" applyFill="1"/>
    <xf numFmtId="0" fontId="3" fillId="0" borderId="6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center" wrapText="1"/>
    </xf>
    <xf numFmtId="9" fontId="3" fillId="0" borderId="0" xfId="1" applyNumberFormat="1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wrapText="1"/>
    </xf>
    <xf numFmtId="0" fontId="6" fillId="0" borderId="0" xfId="0" applyFont="1" applyFill="1" applyAlignment="1">
      <alignment horizontal="left" vertical="center"/>
    </xf>
  </cellXfs>
  <cellStyles count="3"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colors>
    <mruColors>
      <color rgb="FF00FF00"/>
      <color rgb="FF00FFFF"/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1"/>
  <sheetViews>
    <sheetView tabSelected="1" topLeftCell="A16" workbookViewId="0">
      <selection activeCell="A64" sqref="A64"/>
    </sheetView>
  </sheetViews>
  <sheetFormatPr baseColWidth="10" defaultRowHeight="15.75" x14ac:dyDescent="0.25"/>
  <cols>
    <col min="1" max="1" width="38.85546875" style="5" customWidth="1"/>
    <col min="2" max="2" width="19.85546875" style="5" customWidth="1"/>
    <col min="3" max="3" width="20.28515625" style="5" customWidth="1"/>
    <col min="4" max="4" width="23.7109375" style="5" customWidth="1"/>
    <col min="5" max="5" width="32.85546875" style="5" customWidth="1"/>
    <col min="6" max="16384" width="11.42578125" style="5"/>
  </cols>
  <sheetData>
    <row r="1" spans="1:5" x14ac:dyDescent="0.25">
      <c r="A1" s="10" t="s">
        <v>2</v>
      </c>
      <c r="B1" s="10"/>
      <c r="C1" s="10"/>
      <c r="D1" s="8"/>
      <c r="E1" s="8"/>
    </row>
    <row r="2" spans="1:5" x14ac:dyDescent="0.25">
      <c r="A2" s="9" t="s">
        <v>3</v>
      </c>
      <c r="B2" s="4"/>
      <c r="C2" s="8"/>
    </row>
    <row r="3" spans="1:5" x14ac:dyDescent="0.25">
      <c r="A3" s="32"/>
      <c r="B3" s="33"/>
      <c r="C3" s="33"/>
      <c r="D3" s="33"/>
    </row>
    <row r="4" spans="1:5" x14ac:dyDescent="0.25">
      <c r="A4" s="22" t="s">
        <v>4</v>
      </c>
      <c r="B4" s="20"/>
      <c r="C4" s="20"/>
      <c r="D4" s="20"/>
    </row>
    <row r="5" spans="1:5" s="8" customFormat="1" x14ac:dyDescent="0.25">
      <c r="A5" s="19" t="s">
        <v>74</v>
      </c>
    </row>
    <row r="6" spans="1:5" x14ac:dyDescent="0.25">
      <c r="B6" s="8"/>
      <c r="C6" s="8"/>
      <c r="D6" s="75" t="s">
        <v>12</v>
      </c>
      <c r="E6" s="76"/>
    </row>
    <row r="7" spans="1:5" ht="31.5" x14ac:dyDescent="0.25">
      <c r="A7" s="26" t="s">
        <v>70</v>
      </c>
      <c r="B7" s="27">
        <v>220000</v>
      </c>
      <c r="C7" s="66"/>
      <c r="D7" s="29" t="s">
        <v>11</v>
      </c>
      <c r="E7" s="29" t="s">
        <v>13</v>
      </c>
    </row>
    <row r="8" spans="1:5" x14ac:dyDescent="0.25">
      <c r="A8" s="21" t="s">
        <v>8</v>
      </c>
      <c r="B8" s="28">
        <v>0.2</v>
      </c>
      <c r="D8" s="30">
        <v>0.7</v>
      </c>
      <c r="E8" s="30">
        <v>0.3</v>
      </c>
    </row>
    <row r="10" spans="1:5" x14ac:dyDescent="0.25">
      <c r="A10" s="21" t="s">
        <v>1</v>
      </c>
      <c r="B10" s="2" t="s">
        <v>5</v>
      </c>
      <c r="C10" s="2" t="s">
        <v>6</v>
      </c>
      <c r="D10" s="2" t="s">
        <v>7</v>
      </c>
    </row>
    <row r="11" spans="1:5" x14ac:dyDescent="0.25">
      <c r="A11" s="21" t="s">
        <v>9</v>
      </c>
      <c r="B11" s="31">
        <v>0.09</v>
      </c>
      <c r="C11" s="31">
        <v>0.08</v>
      </c>
      <c r="D11" s="31">
        <v>0.13</v>
      </c>
    </row>
    <row r="12" spans="1:5" x14ac:dyDescent="0.25">
      <c r="A12" s="21" t="s">
        <v>10</v>
      </c>
      <c r="B12" s="31">
        <v>0.1</v>
      </c>
      <c r="C12" s="31">
        <v>7.0000000000000007E-2</v>
      </c>
      <c r="D12" s="31">
        <v>0.14000000000000001</v>
      </c>
    </row>
    <row r="14" spans="1:5" x14ac:dyDescent="0.25">
      <c r="A14" s="49" t="s">
        <v>21</v>
      </c>
    </row>
    <row r="15" spans="1:5" x14ac:dyDescent="0.25">
      <c r="A15" s="71" t="s">
        <v>14</v>
      </c>
      <c r="B15" s="2" t="s">
        <v>15</v>
      </c>
      <c r="C15" s="2" t="s">
        <v>16</v>
      </c>
      <c r="D15" s="2" t="s">
        <v>17</v>
      </c>
    </row>
    <row r="16" spans="1:5" x14ac:dyDescent="0.25">
      <c r="A16" s="21" t="s">
        <v>18</v>
      </c>
      <c r="B16" s="34">
        <f>$B$7*$D$8*B11</f>
        <v>13860</v>
      </c>
      <c r="C16" s="34">
        <f>$B$7*$D$8*C11</f>
        <v>12320</v>
      </c>
      <c r="D16" s="34">
        <f>$B$7*$D$8*D11</f>
        <v>20020</v>
      </c>
    </row>
    <row r="17" spans="1:5" x14ac:dyDescent="0.25">
      <c r="A17" s="21" t="s">
        <v>19</v>
      </c>
      <c r="B17" s="34">
        <f>B16*$B$8</f>
        <v>2772</v>
      </c>
      <c r="C17" s="34">
        <f>C16*$B$8</f>
        <v>2464</v>
      </c>
      <c r="D17" s="34">
        <f>D16*$B$8</f>
        <v>4004</v>
      </c>
    </row>
    <row r="18" spans="1:5" x14ac:dyDescent="0.25">
      <c r="A18" s="21" t="s">
        <v>20</v>
      </c>
      <c r="B18" s="34">
        <f>B16+B17</f>
        <v>16632</v>
      </c>
      <c r="C18" s="34">
        <f t="shared" ref="C18:D18" si="0">C16+C17</f>
        <v>14784</v>
      </c>
      <c r="D18" s="34">
        <f t="shared" si="0"/>
        <v>24024</v>
      </c>
    </row>
    <row r="20" spans="1:5" x14ac:dyDescent="0.25">
      <c r="A20" s="71" t="s">
        <v>22</v>
      </c>
      <c r="B20" s="2" t="s">
        <v>15</v>
      </c>
      <c r="C20" s="2" t="s">
        <v>16</v>
      </c>
      <c r="D20" s="2" t="s">
        <v>17</v>
      </c>
    </row>
    <row r="21" spans="1:5" x14ac:dyDescent="0.25">
      <c r="A21" s="21" t="s">
        <v>18</v>
      </c>
      <c r="B21" s="34">
        <f>$B$7*$E$8*B12</f>
        <v>6600</v>
      </c>
      <c r="C21" s="34">
        <f>$B$7*$E$8*C12</f>
        <v>4620</v>
      </c>
      <c r="D21" s="34">
        <f>$B$7*$E$8*D12</f>
        <v>9240</v>
      </c>
    </row>
    <row r="22" spans="1:5" x14ac:dyDescent="0.25">
      <c r="A22" s="21" t="s">
        <v>19</v>
      </c>
      <c r="B22" s="34">
        <f>B21*$B$8</f>
        <v>1320</v>
      </c>
      <c r="C22" s="34">
        <f>C21*$B$8</f>
        <v>924</v>
      </c>
      <c r="D22" s="34">
        <f>D21*$B$8</f>
        <v>1848</v>
      </c>
    </row>
    <row r="23" spans="1:5" x14ac:dyDescent="0.25">
      <c r="A23" s="21" t="s">
        <v>20</v>
      </c>
      <c r="B23" s="34">
        <f>B21+B22</f>
        <v>7920</v>
      </c>
      <c r="C23" s="34">
        <f t="shared" ref="C23:D23" si="1">C21+C22</f>
        <v>5544</v>
      </c>
      <c r="D23" s="34">
        <f t="shared" si="1"/>
        <v>11088</v>
      </c>
    </row>
    <row r="25" spans="1:5" ht="31.5" x14ac:dyDescent="0.25">
      <c r="A25" s="70" t="s">
        <v>73</v>
      </c>
      <c r="B25" s="2" t="s">
        <v>15</v>
      </c>
      <c r="C25" s="2" t="s">
        <v>16</v>
      </c>
      <c r="D25" s="2" t="s">
        <v>17</v>
      </c>
    </row>
    <row r="26" spans="1:5" x14ac:dyDescent="0.25">
      <c r="A26" s="21" t="s">
        <v>18</v>
      </c>
      <c r="B26" s="34">
        <f>B16+B21</f>
        <v>20460</v>
      </c>
      <c r="C26" s="34">
        <f t="shared" ref="C26:D26" si="2">C16+C21</f>
        <v>16940</v>
      </c>
      <c r="D26" s="34">
        <f t="shared" si="2"/>
        <v>29260</v>
      </c>
    </row>
    <row r="27" spans="1:5" x14ac:dyDescent="0.25">
      <c r="A27" s="21" t="s">
        <v>19</v>
      </c>
      <c r="B27" s="34">
        <f>B26*$B$8</f>
        <v>4092</v>
      </c>
      <c r="C27" s="34">
        <f>C26*$B$8</f>
        <v>3388</v>
      </c>
      <c r="D27" s="34">
        <f>D26*$B$8</f>
        <v>5852</v>
      </c>
    </row>
    <row r="28" spans="1:5" x14ac:dyDescent="0.25">
      <c r="A28" s="35" t="s">
        <v>20</v>
      </c>
      <c r="B28" s="67">
        <f>B26+B27</f>
        <v>24552</v>
      </c>
      <c r="C28" s="67">
        <f t="shared" ref="C28:D28" si="3">C26+C27</f>
        <v>20328</v>
      </c>
      <c r="D28" s="67">
        <f t="shared" si="3"/>
        <v>35112</v>
      </c>
    </row>
    <row r="30" spans="1:5" x14ac:dyDescent="0.25">
      <c r="A30" s="16" t="s">
        <v>24</v>
      </c>
      <c r="B30" s="16"/>
      <c r="C30" s="16"/>
      <c r="D30" s="16"/>
      <c r="E30" s="16"/>
    </row>
    <row r="31" spans="1:5" s="8" customFormat="1" x14ac:dyDescent="0.25">
      <c r="A31" s="19" t="s">
        <v>75</v>
      </c>
      <c r="B31" s="80"/>
      <c r="C31" s="80"/>
      <c r="E31" s="25"/>
    </row>
    <row r="32" spans="1:5" s="8" customFormat="1" ht="33.75" customHeight="1" x14ac:dyDescent="0.25">
      <c r="A32" s="72" t="s">
        <v>48</v>
      </c>
      <c r="B32" s="30">
        <v>0.5</v>
      </c>
      <c r="C32" s="81" t="s">
        <v>46</v>
      </c>
      <c r="D32" s="82"/>
    </row>
    <row r="33" spans="1:5" s="8" customFormat="1" ht="16.5" customHeight="1" x14ac:dyDescent="0.25">
      <c r="A33" s="61"/>
      <c r="B33" s="83"/>
      <c r="C33" s="84"/>
      <c r="D33" s="84"/>
    </row>
    <row r="34" spans="1:5" s="8" customFormat="1" x14ac:dyDescent="0.25">
      <c r="A34" s="19" t="s">
        <v>76</v>
      </c>
    </row>
    <row r="35" spans="1:5" s="8" customFormat="1" x14ac:dyDescent="0.25">
      <c r="A35" s="85"/>
      <c r="B35" s="7" t="s">
        <v>5</v>
      </c>
      <c r="C35" s="24" t="s">
        <v>6</v>
      </c>
      <c r="D35" s="24" t="s">
        <v>7</v>
      </c>
      <c r="E35" s="43"/>
    </row>
    <row r="36" spans="1:5" s="8" customFormat="1" ht="31.5" x14ac:dyDescent="0.25">
      <c r="A36" s="15" t="s">
        <v>49</v>
      </c>
      <c r="B36" s="34">
        <v>3760</v>
      </c>
      <c r="C36" s="34">
        <v>2630</v>
      </c>
      <c r="D36" s="34">
        <v>5270</v>
      </c>
      <c r="E36" s="43"/>
    </row>
    <row r="37" spans="1:5" s="8" customFormat="1" x14ac:dyDescent="0.25">
      <c r="A37" s="44"/>
      <c r="B37" s="45"/>
      <c r="C37" s="45"/>
      <c r="D37" s="45"/>
      <c r="E37" s="43"/>
    </row>
    <row r="38" spans="1:5" x14ac:dyDescent="0.25">
      <c r="A38" s="68" t="s">
        <v>36</v>
      </c>
      <c r="B38" s="73" t="s">
        <v>15</v>
      </c>
      <c r="C38" s="2" t="s">
        <v>16</v>
      </c>
      <c r="D38" s="2" t="s">
        <v>17</v>
      </c>
    </row>
    <row r="39" spans="1:5" x14ac:dyDescent="0.25">
      <c r="A39" s="12" t="s">
        <v>25</v>
      </c>
      <c r="B39" s="34">
        <f>B16*$B$32</f>
        <v>6930</v>
      </c>
      <c r="C39" s="34">
        <f>C16*$B$32</f>
        <v>6160</v>
      </c>
      <c r="D39" s="34">
        <f>D16*$B$32</f>
        <v>10010</v>
      </c>
    </row>
    <row r="40" spans="1:5" ht="31.5" x14ac:dyDescent="0.25">
      <c r="A40" s="12" t="s">
        <v>26</v>
      </c>
      <c r="B40" s="34">
        <f>B36</f>
        <v>3760</v>
      </c>
      <c r="C40" s="34">
        <f>C36</f>
        <v>2630</v>
      </c>
      <c r="D40" s="34">
        <f>D36</f>
        <v>5270</v>
      </c>
    </row>
    <row r="41" spans="1:5" x14ac:dyDescent="0.25">
      <c r="A41" s="47" t="s">
        <v>27</v>
      </c>
      <c r="B41" s="48">
        <f>B39+B40</f>
        <v>10690</v>
      </c>
      <c r="C41" s="48">
        <f t="shared" ref="C41:D41" si="4">C39+C40</f>
        <v>8790</v>
      </c>
      <c r="D41" s="48">
        <f t="shared" si="4"/>
        <v>15280</v>
      </c>
    </row>
    <row r="42" spans="1:5" x14ac:dyDescent="0.25">
      <c r="A42" s="47" t="s">
        <v>19</v>
      </c>
      <c r="B42" s="48">
        <f>B41*$B$8</f>
        <v>2138</v>
      </c>
      <c r="C42" s="48">
        <f>C41*$B$8</f>
        <v>1758</v>
      </c>
      <c r="D42" s="48">
        <f>D41*$B$8</f>
        <v>3056</v>
      </c>
    </row>
    <row r="43" spans="1:5" x14ac:dyDescent="0.25">
      <c r="A43" s="46" t="s">
        <v>28</v>
      </c>
      <c r="B43" s="48">
        <f>B41+B42</f>
        <v>12828</v>
      </c>
      <c r="C43" s="48">
        <f t="shared" ref="C43" si="5">C41+C42</f>
        <v>10548</v>
      </c>
      <c r="D43" s="48">
        <f t="shared" ref="D43" si="6">D41+D42</f>
        <v>18336</v>
      </c>
    </row>
    <row r="45" spans="1:5" x14ac:dyDescent="0.25">
      <c r="A45" s="16" t="s">
        <v>23</v>
      </c>
      <c r="B45" s="20"/>
      <c r="C45" s="20"/>
    </row>
    <row r="46" spans="1:5" x14ac:dyDescent="0.25">
      <c r="A46" s="19" t="s">
        <v>77</v>
      </c>
    </row>
    <row r="47" spans="1:5" x14ac:dyDescent="0.25">
      <c r="A47" s="74" t="s">
        <v>37</v>
      </c>
      <c r="B47" s="14" t="s">
        <v>15</v>
      </c>
      <c r="C47" s="2" t="s">
        <v>16</v>
      </c>
      <c r="D47" s="2" t="s">
        <v>17</v>
      </c>
    </row>
    <row r="48" spans="1:5" x14ac:dyDescent="0.25">
      <c r="A48" s="21" t="s">
        <v>47</v>
      </c>
      <c r="B48" s="39">
        <v>4240</v>
      </c>
      <c r="C48" s="40">
        <v>4680</v>
      </c>
      <c r="D48" s="40">
        <v>3740</v>
      </c>
    </row>
    <row r="49" spans="1:8" x14ac:dyDescent="0.25">
      <c r="A49" s="21" t="s">
        <v>38</v>
      </c>
      <c r="B49" s="39">
        <v>1720</v>
      </c>
      <c r="C49" s="40">
        <v>1820</v>
      </c>
      <c r="D49" s="40">
        <v>2260</v>
      </c>
    </row>
    <row r="51" spans="1:8" x14ac:dyDescent="0.25">
      <c r="A51" s="12" t="s">
        <v>44</v>
      </c>
      <c r="B51" s="34">
        <v>3800</v>
      </c>
    </row>
    <row r="52" spans="1:8" x14ac:dyDescent="0.25">
      <c r="A52" s="36" t="s">
        <v>45</v>
      </c>
      <c r="B52" s="37">
        <v>0.45</v>
      </c>
    </row>
    <row r="54" spans="1:8" x14ac:dyDescent="0.25">
      <c r="A54" s="68" t="s">
        <v>42</v>
      </c>
      <c r="B54" s="2" t="s">
        <v>15</v>
      </c>
      <c r="C54" s="2" t="s">
        <v>16</v>
      </c>
      <c r="D54" s="2" t="s">
        <v>17</v>
      </c>
    </row>
    <row r="55" spans="1:8" x14ac:dyDescent="0.25">
      <c r="A55" s="21" t="s">
        <v>29</v>
      </c>
      <c r="B55" s="41">
        <f>B48</f>
        <v>4240</v>
      </c>
      <c r="C55" s="41">
        <f t="shared" ref="C55:D55" si="7">C48</f>
        <v>4680</v>
      </c>
      <c r="D55" s="41">
        <f t="shared" si="7"/>
        <v>3740</v>
      </c>
    </row>
    <row r="56" spans="1:8" x14ac:dyDescent="0.25">
      <c r="A56" s="21" t="s">
        <v>30</v>
      </c>
      <c r="B56" s="41">
        <f>B49</f>
        <v>1720</v>
      </c>
      <c r="C56" s="41">
        <f t="shared" ref="C56:D56" si="8">C49</f>
        <v>1820</v>
      </c>
      <c r="D56" s="41">
        <f t="shared" si="8"/>
        <v>2260</v>
      </c>
    </row>
    <row r="57" spans="1:8" x14ac:dyDescent="0.25">
      <c r="A57" s="21" t="s">
        <v>31</v>
      </c>
      <c r="B57" s="41">
        <f>$B$51</f>
        <v>3800</v>
      </c>
      <c r="C57" s="41">
        <f>$B$51</f>
        <v>3800</v>
      </c>
      <c r="D57" s="41">
        <f>$B$51</f>
        <v>3800</v>
      </c>
    </row>
    <row r="58" spans="1:8" x14ac:dyDescent="0.25">
      <c r="A58" s="21" t="s">
        <v>32</v>
      </c>
      <c r="B58" s="41">
        <f>$B$57*$B$52</f>
        <v>1710</v>
      </c>
      <c r="C58" s="41">
        <f>$B$57*$B$52</f>
        <v>1710</v>
      </c>
      <c r="D58" s="41">
        <f>$B$57*$B$52</f>
        <v>1710</v>
      </c>
    </row>
    <row r="59" spans="1:8" x14ac:dyDescent="0.25">
      <c r="A59" s="35" t="s">
        <v>33</v>
      </c>
      <c r="B59" s="42">
        <f>SUM(B55:B58)</f>
        <v>11470</v>
      </c>
      <c r="C59" s="42">
        <f t="shared" ref="C59:D59" si="9">SUM(C55:C58)</f>
        <v>12010</v>
      </c>
      <c r="D59" s="42">
        <f t="shared" si="9"/>
        <v>11510</v>
      </c>
    </row>
    <row r="60" spans="1:8" x14ac:dyDescent="0.25">
      <c r="A60" s="35" t="s">
        <v>34</v>
      </c>
      <c r="B60" s="42">
        <f>B55*$B$8</f>
        <v>848</v>
      </c>
      <c r="C60" s="42">
        <f t="shared" ref="C60:D60" si="10">C55*$B$8</f>
        <v>936</v>
      </c>
      <c r="D60" s="42">
        <f t="shared" si="10"/>
        <v>748</v>
      </c>
    </row>
    <row r="61" spans="1:8" x14ac:dyDescent="0.25">
      <c r="A61" s="35" t="s">
        <v>35</v>
      </c>
      <c r="B61" s="42">
        <f>B59+B60</f>
        <v>12318</v>
      </c>
      <c r="C61" s="42">
        <f t="shared" ref="C61:D61" si="11">C59+C60</f>
        <v>12946</v>
      </c>
      <c r="D61" s="42">
        <f t="shared" si="11"/>
        <v>12258</v>
      </c>
    </row>
    <row r="63" spans="1:8" x14ac:dyDescent="0.25">
      <c r="A63" s="50" t="s">
        <v>50</v>
      </c>
      <c r="B63" s="50"/>
      <c r="C63" s="56"/>
      <c r="D63" s="56"/>
      <c r="E63" s="3"/>
      <c r="F63" s="3"/>
      <c r="G63" s="3"/>
      <c r="H63" s="3"/>
    </row>
    <row r="64" spans="1:8" x14ac:dyDescent="0.25">
      <c r="A64" s="13" t="s">
        <v>78</v>
      </c>
      <c r="B64" s="51"/>
      <c r="C64" s="51"/>
      <c r="D64" s="51"/>
      <c r="E64" s="3"/>
      <c r="F64" s="3"/>
      <c r="G64" s="3"/>
      <c r="H64" s="3"/>
    </row>
    <row r="65" spans="1:8" x14ac:dyDescent="0.25">
      <c r="B65" s="11" t="s">
        <v>15</v>
      </c>
      <c r="C65" s="24" t="s">
        <v>16</v>
      </c>
      <c r="D65" s="24" t="s">
        <v>17</v>
      </c>
      <c r="E65" s="3"/>
      <c r="F65" s="3"/>
      <c r="G65" s="3"/>
      <c r="H65" s="3"/>
    </row>
    <row r="66" spans="1:8" x14ac:dyDescent="0.25">
      <c r="A66" s="18" t="s">
        <v>39</v>
      </c>
      <c r="B66" s="53">
        <v>1244</v>
      </c>
      <c r="C66" s="53">
        <v>0</v>
      </c>
      <c r="D66" s="53">
        <v>600</v>
      </c>
      <c r="E66" s="3"/>
      <c r="F66" s="3"/>
      <c r="G66" s="3"/>
      <c r="H66" s="3"/>
    </row>
    <row r="67" spans="1:8" x14ac:dyDescent="0.25">
      <c r="A67" s="3"/>
      <c r="B67" s="3"/>
      <c r="C67" s="6"/>
      <c r="D67" s="79" t="s">
        <v>54</v>
      </c>
      <c r="E67" s="79"/>
      <c r="F67" s="79"/>
    </row>
    <row r="68" spans="1:8" ht="31.5" x14ac:dyDescent="0.25">
      <c r="A68" s="15" t="s">
        <v>40</v>
      </c>
      <c r="B68" s="54">
        <v>1472</v>
      </c>
      <c r="D68" s="77" t="s">
        <v>52</v>
      </c>
      <c r="E68" s="77"/>
      <c r="F68" s="57">
        <v>6000</v>
      </c>
      <c r="G68" s="17"/>
      <c r="H68" s="17"/>
    </row>
    <row r="69" spans="1:8" ht="15.75" customHeight="1" x14ac:dyDescent="0.25">
      <c r="A69" s="23" t="s">
        <v>43</v>
      </c>
      <c r="B69" s="55">
        <v>9048</v>
      </c>
      <c r="C69" s="3"/>
      <c r="D69" s="78" t="s">
        <v>53</v>
      </c>
      <c r="E69" s="78"/>
      <c r="F69" s="78"/>
    </row>
    <row r="70" spans="1:8" ht="31.5" customHeight="1" x14ac:dyDescent="0.25">
      <c r="A70" s="23" t="s">
        <v>41</v>
      </c>
      <c r="B70" s="55">
        <v>1710</v>
      </c>
      <c r="D70" s="78" t="s">
        <v>55</v>
      </c>
      <c r="E70" s="78"/>
      <c r="F70" s="57">
        <v>6000</v>
      </c>
    </row>
    <row r="71" spans="1:8" ht="31.5" customHeight="1" x14ac:dyDescent="0.25">
      <c r="A71" s="44"/>
      <c r="B71" s="60"/>
      <c r="D71" s="61"/>
      <c r="E71" s="61"/>
      <c r="F71" s="60"/>
    </row>
    <row r="72" spans="1:8" x14ac:dyDescent="0.25">
      <c r="A72" s="52" t="s">
        <v>51</v>
      </c>
      <c r="B72" s="52"/>
      <c r="C72" s="52"/>
    </row>
    <row r="73" spans="1:8" x14ac:dyDescent="0.25">
      <c r="A73" s="68" t="s">
        <v>58</v>
      </c>
      <c r="B73" s="2" t="s">
        <v>15</v>
      </c>
      <c r="C73" s="2" t="s">
        <v>16</v>
      </c>
      <c r="D73" s="2" t="s">
        <v>17</v>
      </c>
    </row>
    <row r="74" spans="1:8" x14ac:dyDescent="0.25">
      <c r="A74" s="21" t="s">
        <v>61</v>
      </c>
      <c r="B74" s="41">
        <f>B28</f>
        <v>24552</v>
      </c>
      <c r="C74" s="41">
        <f t="shared" ref="C74:D74" si="12">C28</f>
        <v>20328</v>
      </c>
      <c r="D74" s="41">
        <f t="shared" si="12"/>
        <v>35112</v>
      </c>
    </row>
    <row r="75" spans="1:8" x14ac:dyDescent="0.25">
      <c r="A75" s="21" t="s">
        <v>56</v>
      </c>
      <c r="B75" s="41">
        <f>F70</f>
        <v>6000</v>
      </c>
      <c r="C75" s="59"/>
      <c r="D75" s="59"/>
    </row>
    <row r="76" spans="1:8" x14ac:dyDescent="0.25">
      <c r="A76" s="35" t="s">
        <v>57</v>
      </c>
      <c r="B76" s="42">
        <f>SUM(B74:B75)</f>
        <v>30552</v>
      </c>
      <c r="C76" s="42">
        <f t="shared" ref="C76:D76" si="13">SUM(C74:C75)</f>
        <v>20328</v>
      </c>
      <c r="D76" s="42">
        <f t="shared" si="13"/>
        <v>35112</v>
      </c>
    </row>
    <row r="78" spans="1:8" x14ac:dyDescent="0.25">
      <c r="A78" s="52" t="s">
        <v>59</v>
      </c>
      <c r="B78" s="52"/>
      <c r="C78" s="52"/>
    </row>
    <row r="79" spans="1:8" x14ac:dyDescent="0.25">
      <c r="A79" s="68" t="s">
        <v>71</v>
      </c>
      <c r="B79" s="2" t="s">
        <v>15</v>
      </c>
      <c r="C79" s="2" t="s">
        <v>16</v>
      </c>
      <c r="D79" s="2" t="s">
        <v>17</v>
      </c>
    </row>
    <row r="80" spans="1:8" x14ac:dyDescent="0.25">
      <c r="A80" s="21" t="s">
        <v>64</v>
      </c>
      <c r="B80" s="62">
        <f>B69</f>
        <v>9048</v>
      </c>
      <c r="C80" s="38">
        <f>B43</f>
        <v>12828</v>
      </c>
      <c r="D80" s="38">
        <f>C43</f>
        <v>10548</v>
      </c>
    </row>
    <row r="81" spans="1:4" x14ac:dyDescent="0.25">
      <c r="A81" s="21" t="s">
        <v>62</v>
      </c>
      <c r="B81" s="41">
        <f>B61</f>
        <v>12318</v>
      </c>
      <c r="C81" s="41">
        <f t="shared" ref="C81:D81" si="14">C61</f>
        <v>12946</v>
      </c>
      <c r="D81" s="41">
        <f t="shared" si="14"/>
        <v>12258</v>
      </c>
    </row>
    <row r="82" spans="1:4" x14ac:dyDescent="0.25">
      <c r="A82" s="21" t="s">
        <v>63</v>
      </c>
      <c r="B82" s="63">
        <f>B66</f>
        <v>1244</v>
      </c>
      <c r="C82" s="63">
        <f t="shared" ref="C82:D82" si="15">C66</f>
        <v>0</v>
      </c>
      <c r="D82" s="63">
        <f t="shared" si="15"/>
        <v>600</v>
      </c>
    </row>
    <row r="83" spans="1:4" x14ac:dyDescent="0.25">
      <c r="A83" s="21" t="s">
        <v>60</v>
      </c>
      <c r="B83" s="38">
        <f>$F$68*1.2*0.5</f>
        <v>3600</v>
      </c>
      <c r="C83" s="38">
        <f>$F$68*1.2*0.5</f>
        <v>3600</v>
      </c>
      <c r="D83" s="1"/>
    </row>
    <row r="84" spans="1:4" x14ac:dyDescent="0.25">
      <c r="A84" s="35" t="s">
        <v>0</v>
      </c>
      <c r="B84" s="58">
        <f>SUM(B80:B83)</f>
        <v>26210</v>
      </c>
      <c r="C84" s="58">
        <f t="shared" ref="C84:D84" si="16">SUM(C80:C83)</f>
        <v>29374</v>
      </c>
      <c r="D84" s="58">
        <f t="shared" si="16"/>
        <v>23406</v>
      </c>
    </row>
    <row r="86" spans="1:4" x14ac:dyDescent="0.25">
      <c r="A86" s="52" t="s">
        <v>65</v>
      </c>
      <c r="B86" s="52"/>
    </row>
    <row r="87" spans="1:4" x14ac:dyDescent="0.25">
      <c r="A87" s="69" t="s">
        <v>72</v>
      </c>
      <c r="B87" s="2" t="s">
        <v>15</v>
      </c>
      <c r="C87" s="2" t="s">
        <v>16</v>
      </c>
      <c r="D87" s="2" t="s">
        <v>17</v>
      </c>
    </row>
    <row r="88" spans="1:4" x14ac:dyDescent="0.25">
      <c r="A88" s="64" t="s">
        <v>66</v>
      </c>
      <c r="B88" s="38">
        <f>B68</f>
        <v>1472</v>
      </c>
      <c r="C88" s="41">
        <f>B91</f>
        <v>5814</v>
      </c>
      <c r="D88" s="41">
        <f>C91</f>
        <v>-3232</v>
      </c>
    </row>
    <row r="89" spans="1:4" x14ac:dyDescent="0.25">
      <c r="A89" s="64" t="s">
        <v>67</v>
      </c>
      <c r="B89" s="41">
        <f>B76</f>
        <v>30552</v>
      </c>
      <c r="C89" s="41">
        <f t="shared" ref="C89:D89" si="17">C76</f>
        <v>20328</v>
      </c>
      <c r="D89" s="41">
        <f t="shared" si="17"/>
        <v>35112</v>
      </c>
    </row>
    <row r="90" spans="1:4" x14ac:dyDescent="0.25">
      <c r="A90" s="64" t="s">
        <v>68</v>
      </c>
      <c r="B90" s="38">
        <f>B84</f>
        <v>26210</v>
      </c>
      <c r="C90" s="38">
        <f t="shared" ref="C90:D90" si="18">C84</f>
        <v>29374</v>
      </c>
      <c r="D90" s="38">
        <f t="shared" si="18"/>
        <v>23406</v>
      </c>
    </row>
    <row r="91" spans="1:4" x14ac:dyDescent="0.25">
      <c r="A91" s="65" t="s">
        <v>69</v>
      </c>
      <c r="B91" s="42">
        <f>B88+B89-B90</f>
        <v>5814</v>
      </c>
      <c r="C91" s="42">
        <f t="shared" ref="C91:D91" si="19">C88+C89-C90</f>
        <v>-3232</v>
      </c>
      <c r="D91" s="42">
        <f t="shared" si="19"/>
        <v>8474</v>
      </c>
    </row>
  </sheetData>
  <mergeCells count="6">
    <mergeCell ref="D6:E6"/>
    <mergeCell ref="D68:E68"/>
    <mergeCell ref="D70:E70"/>
    <mergeCell ref="D69:F69"/>
    <mergeCell ref="D67:F67"/>
    <mergeCell ref="C32:D32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Corrigé Q1 à 6 - cas CH19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COIC</dc:creator>
  <cp:lastModifiedBy>Bernard COÏC</cp:lastModifiedBy>
  <dcterms:created xsi:type="dcterms:W3CDTF">2019-01-13T10:34:42Z</dcterms:created>
  <dcterms:modified xsi:type="dcterms:W3CDTF">2021-11-09T17:51:31Z</dcterms:modified>
</cp:coreProperties>
</file>