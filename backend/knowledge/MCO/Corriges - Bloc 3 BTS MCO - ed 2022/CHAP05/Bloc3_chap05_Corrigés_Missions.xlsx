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cfa\Documents\Foucher 2021\BLOC 3 2021 AVEC CORRECTIONS\CHAPITRES CORRIGES 2021 BLOC 3 PDF\BLOC 3 FICHIERS EXCEL\"/>
    </mc:Choice>
  </mc:AlternateContent>
  <bookViews>
    <workbookView xWindow="960" yWindow="945" windowWidth="16995" windowHeight="6570"/>
  </bookViews>
  <sheets>
    <sheet name="Q1 Cas chap 5" sheetId="7" r:id="rId1"/>
    <sheet name="Q2 Cas Chap 5" sheetId="8" r:id="rId2"/>
    <sheet name="Q3 Cas chap 5" sheetId="9" r:id="rId3"/>
    <sheet name="Q4 Cas chap 5" sheetId="10" r:id="rId4"/>
    <sheet name="Q5 Cas Chap 5" sheetId="11" r:id="rId5"/>
    <sheet name="Q6 Cas Chap 5" sheetId="12" r:id="rId6"/>
  </sheets>
  <calcPr calcId="162913"/>
</workbook>
</file>

<file path=xl/calcChain.xml><?xml version="1.0" encoding="utf-8"?>
<calcChain xmlns="http://schemas.openxmlformats.org/spreadsheetml/2006/main">
  <c r="H19" i="8" l="1"/>
  <c r="G19" i="8"/>
  <c r="F19" i="8"/>
  <c r="H18" i="8"/>
  <c r="G18" i="8"/>
  <c r="F18" i="8"/>
  <c r="H17" i="8"/>
  <c r="F17" i="8"/>
  <c r="D19" i="8"/>
  <c r="B19" i="8"/>
  <c r="D18" i="8"/>
  <c r="B18" i="8"/>
  <c r="C17" i="8"/>
  <c r="B17" i="8"/>
  <c r="D17" i="8" s="1"/>
  <c r="E41" i="12" l="1"/>
  <c r="C41" i="12"/>
  <c r="B41" i="12"/>
  <c r="D41" i="12" s="1"/>
  <c r="F41" i="12" s="1"/>
  <c r="E40" i="12"/>
  <c r="C40" i="12"/>
  <c r="B40" i="12"/>
  <c r="D40" i="12" s="1"/>
  <c r="F40" i="12" s="1"/>
  <c r="E39" i="12"/>
  <c r="C39" i="12"/>
  <c r="D39" i="12" s="1"/>
  <c r="F39" i="12" s="1"/>
  <c r="B39" i="12"/>
  <c r="E38" i="12"/>
  <c r="D38" i="12"/>
  <c r="C38" i="12"/>
  <c r="C42" i="12" s="1"/>
  <c r="B38" i="12"/>
  <c r="B42" i="12" s="1"/>
  <c r="C16" i="11"/>
  <c r="D16" i="11"/>
  <c r="E16" i="11"/>
  <c r="B16" i="11"/>
  <c r="J30" i="9"/>
  <c r="I30" i="9"/>
  <c r="H30" i="9"/>
  <c r="J28" i="9"/>
  <c r="I28" i="9"/>
  <c r="H28" i="9"/>
  <c r="J27" i="9"/>
  <c r="H27" i="9"/>
  <c r="J25" i="9"/>
  <c r="H25" i="9"/>
  <c r="J24" i="9"/>
  <c r="H24" i="9"/>
  <c r="F24" i="9"/>
  <c r="J22" i="9"/>
  <c r="H22" i="9"/>
  <c r="E30" i="9"/>
  <c r="C28" i="9"/>
  <c r="F30" i="9" s="1"/>
  <c r="B28" i="9"/>
  <c r="F27" i="9"/>
  <c r="E27" i="9"/>
  <c r="F26" i="9"/>
  <c r="D25" i="9"/>
  <c r="C25" i="9"/>
  <c r="B25" i="9"/>
  <c r="E24" i="9"/>
  <c r="F23" i="9"/>
  <c r="F22" i="9"/>
  <c r="C22" i="9"/>
  <c r="D22" i="9" s="1"/>
  <c r="B22" i="9"/>
  <c r="I21" i="9"/>
  <c r="H21" i="9"/>
  <c r="C19" i="8"/>
  <c r="G17" i="8" s="1"/>
  <c r="B24" i="7"/>
  <c r="E23" i="7"/>
  <c r="E22" i="7"/>
  <c r="D22" i="7"/>
  <c r="C22" i="7"/>
  <c r="B22" i="7"/>
  <c r="E21" i="7"/>
  <c r="E20" i="7"/>
  <c r="C20" i="7"/>
  <c r="D20" i="7" s="1"/>
  <c r="B20" i="7"/>
  <c r="E19" i="7"/>
  <c r="E18" i="7"/>
  <c r="E24" i="7" s="1"/>
  <c r="C18" i="7"/>
  <c r="D18" i="7" s="1"/>
  <c r="D24" i="7" s="1"/>
  <c r="B18" i="7"/>
  <c r="I17" i="7"/>
  <c r="J17" i="7" s="1"/>
  <c r="H17" i="7"/>
  <c r="H18" i="7" s="1"/>
  <c r="H19" i="7" s="1"/>
  <c r="H20" i="7" s="1"/>
  <c r="H21" i="7" s="1"/>
  <c r="H22" i="7" s="1"/>
  <c r="H23" i="7" s="1"/>
  <c r="D42" i="12" l="1"/>
  <c r="F38" i="12"/>
  <c r="F42" i="12" s="1"/>
  <c r="E22" i="9"/>
  <c r="E23" i="9" s="1"/>
  <c r="G23" i="9" s="1"/>
  <c r="I24" i="9"/>
  <c r="F25" i="9" s="1"/>
  <c r="I25" i="9"/>
  <c r="I27" i="9"/>
  <c r="F28" i="9" s="1"/>
  <c r="J21" i="9"/>
  <c r="I22" i="9"/>
  <c r="G27" i="9"/>
  <c r="G30" i="9"/>
  <c r="E25" i="9"/>
  <c r="D28" i="9"/>
  <c r="F29" i="9"/>
  <c r="G24" i="9"/>
  <c r="I18" i="7"/>
  <c r="F18" i="7"/>
  <c r="G18" i="7" s="1"/>
  <c r="J18" i="7" s="1"/>
  <c r="G22" i="9" l="1"/>
  <c r="E26" i="9"/>
  <c r="G26" i="9" s="1"/>
  <c r="G25" i="9"/>
  <c r="I19" i="7"/>
  <c r="F19" i="7"/>
  <c r="G19" i="7" s="1"/>
  <c r="J19" i="7" s="1"/>
  <c r="E28" i="9" l="1"/>
  <c r="F20" i="7"/>
  <c r="G20" i="7" s="1"/>
  <c r="J20" i="7" s="1"/>
  <c r="I20" i="7"/>
  <c r="E29" i="9" l="1"/>
  <c r="G29" i="9" s="1"/>
  <c r="G28" i="9"/>
  <c r="F21" i="7"/>
  <c r="G21" i="7" s="1"/>
  <c r="J21" i="7" s="1"/>
  <c r="I21" i="7"/>
  <c r="F22" i="7" l="1"/>
  <c r="G22" i="7" s="1"/>
  <c r="J22" i="7" s="1"/>
  <c r="I22" i="7"/>
  <c r="I23" i="7" l="1"/>
  <c r="F23" i="7"/>
  <c r="G23" i="7" s="1"/>
  <c r="J23" i="7" s="1"/>
</calcChain>
</file>

<file path=xl/comments1.xml><?xml version="1.0" encoding="utf-8"?>
<comments xmlns="http://schemas.openxmlformats.org/spreadsheetml/2006/main">
  <authors>
    <author>Bernard COÏC</author>
  </authors>
  <commentList>
    <comment ref="F18" authorId="0" shapeId="0">
      <text>
        <r>
          <rPr>
            <b/>
            <sz val="9"/>
            <color indexed="81"/>
            <rFont val="Tahoma"/>
            <family val="2"/>
          </rPr>
          <t>Bernard COÏC:</t>
        </r>
        <r>
          <rPr>
            <sz val="9"/>
            <color indexed="81"/>
            <rFont val="Tahoma"/>
            <family val="2"/>
          </rPr>
          <t xml:space="preserve">
CUMP du lundi = (25 + 96)/(10 + 40) = 2,42 €. On utilisera ce CUMP pour évaluer les sorties de stock et les stocks jusqu’à une nouvelle entrée en stock.</t>
        </r>
      </text>
    </comment>
    <comment ref="J18" authorId="0" shapeId="0">
      <text>
        <r>
          <rPr>
            <b/>
            <sz val="9"/>
            <color indexed="81"/>
            <rFont val="Tahoma"/>
            <family val="2"/>
          </rPr>
          <t>Bernard COÏC:</t>
        </r>
        <r>
          <rPr>
            <sz val="9"/>
            <color indexed="81"/>
            <rFont val="Tahoma"/>
            <family val="2"/>
          </rPr>
          <t xml:space="preserve">
Valeur du stock du lundi soir = Valeur du stock précédent initial + Valeur des entrées – Valeur des sorties =
25 + 96 – 38,72 = 82,28 €</t>
        </r>
      </text>
    </comment>
    <comment ref="F20" authorId="0" shapeId="0">
      <text>
        <r>
          <rPr>
            <b/>
            <sz val="9"/>
            <color indexed="81"/>
            <rFont val="Tahoma"/>
            <family val="2"/>
          </rPr>
          <t>Bernard COÏC:</t>
        </r>
        <r>
          <rPr>
            <sz val="9"/>
            <color indexed="81"/>
            <rFont val="Tahoma"/>
            <family val="2"/>
          </rPr>
          <t xml:space="preserve">
CUMP du mercredi = (33,88 + 203)/(14 + 70) = 2,82 €. Il sera utilisé jusqu'à une nouvelle entrée.</t>
        </r>
      </text>
    </comment>
  </commentList>
</comments>
</file>

<file path=xl/comments2.xml><?xml version="1.0" encoding="utf-8"?>
<comments xmlns="http://schemas.openxmlformats.org/spreadsheetml/2006/main">
  <authors>
    <author>Bernard COÏC</author>
  </authors>
  <commentList>
    <comment ref="G17" authorId="0" shapeId="0">
      <text>
        <r>
          <rPr>
            <b/>
            <sz val="9"/>
            <color indexed="81"/>
            <rFont val="Tahoma"/>
            <family val="2"/>
          </rPr>
          <t>Bernard COÏC:</t>
        </r>
        <r>
          <rPr>
            <sz val="9"/>
            <color indexed="81"/>
            <rFont val="Tahoma"/>
            <family val="2"/>
          </rPr>
          <t xml:space="preserve">
Les sorties de 223 kg sont évaluées au CUMP de 2,68 €.</t>
        </r>
      </text>
    </comment>
    <comment ref="H18" authorId="0" shapeId="0">
      <text>
        <r>
          <rPr>
            <b/>
            <sz val="9"/>
            <color indexed="81"/>
            <rFont val="Tahoma"/>
            <family val="2"/>
          </rPr>
          <t>Bernard COÏC:</t>
        </r>
        <r>
          <rPr>
            <sz val="9"/>
            <color indexed="81"/>
            <rFont val="Tahoma"/>
            <family val="2"/>
          </rPr>
          <t xml:space="preserve">
Stock final = Stock initial + Entrées – Sorties = 25 + 618,20 – 597,64 = 45,56 €</t>
        </r>
      </text>
    </comment>
    <comment ref="C19" authorId="0" shapeId="0">
      <text>
        <r>
          <rPr>
            <b/>
            <sz val="9"/>
            <color indexed="81"/>
            <rFont val="Tahoma"/>
            <family val="2"/>
          </rPr>
          <t>Bernard COÏC:</t>
        </r>
        <r>
          <rPr>
            <sz val="9"/>
            <color indexed="81"/>
            <rFont val="Tahoma"/>
            <family val="2"/>
          </rPr>
          <t xml:space="preserve">
Coût Unitaire Moyen Pondéré calculé sur une semaine
CUMP = (25 + 618,20)/(10 + 230) = 643,20/240 = 2,68 €</t>
        </r>
      </text>
    </comment>
  </commentList>
</comments>
</file>

<file path=xl/sharedStrings.xml><?xml version="1.0" encoding="utf-8"?>
<sst xmlns="http://schemas.openxmlformats.org/spreadsheetml/2006/main" count="207" uniqueCount="63">
  <si>
    <t>Stock final</t>
  </si>
  <si>
    <t>Totaux</t>
  </si>
  <si>
    <t>cas support : LES JARDINS D'AGEN</t>
  </si>
  <si>
    <t>Mission 1 Valoriser les stocks</t>
  </si>
  <si>
    <t>Quantité</t>
  </si>
  <si>
    <t>coût d'achat unitaire</t>
  </si>
  <si>
    <t>stock initial de la semaine 4 </t>
  </si>
  <si>
    <t xml:space="preserve">Mouvements de socks de cerises semaine </t>
  </si>
  <si>
    <t>Dates</t>
  </si>
  <si>
    <t xml:space="preserve"> Lundi </t>
  </si>
  <si>
    <t xml:space="preserve"> Mardi </t>
  </si>
  <si>
    <t xml:space="preserve"> Mercredi </t>
  </si>
  <si>
    <t xml:space="preserve"> Jeudi </t>
  </si>
  <si>
    <t xml:space="preserve"> Vendredi </t>
  </si>
  <si>
    <t xml:space="preserve"> Samedi </t>
  </si>
  <si>
    <t>Entrées en kilogrammes</t>
  </si>
  <si>
    <t>Coût d’achat unitaire</t>
  </si>
  <si>
    <t>Sorties en kilogrammes</t>
  </si>
  <si>
    <t>1. Établissez la fiche d’évaluation des stocks de cerises de la quatrième semaine de juin en utilisant la méthode du CUMP calculé après chaque entrée.</t>
  </si>
  <si>
    <t>Entrées</t>
  </si>
  <si>
    <t>Sorties</t>
  </si>
  <si>
    <t>Stock</t>
  </si>
  <si>
    <t>TOTAL</t>
  </si>
  <si>
    <r>
      <t>Ressource 3 Entrées et sorties de stock de cerises de la 4</t>
    </r>
    <r>
      <rPr>
        <b/>
        <vertAlign val="superscript"/>
        <sz val="12"/>
        <color rgb="FF0000FF"/>
        <rFont val="Calibri"/>
        <family val="2"/>
        <scheme val="minor"/>
      </rPr>
      <t>e</t>
    </r>
    <r>
      <rPr>
        <b/>
        <sz val="12"/>
        <color rgb="FF0000FF"/>
        <rFont val="Calibri"/>
        <family val="2"/>
        <scheme val="minor"/>
      </rPr>
      <t xml:space="preserve"> semaine de juin</t>
    </r>
  </si>
  <si>
    <t>Coût unitaire</t>
  </si>
  <si>
    <t>Montant</t>
  </si>
  <si>
    <t>Stock initial</t>
  </si>
  <si>
    <t>Lundi</t>
  </si>
  <si>
    <t>Mardi</t>
  </si>
  <si>
    <t>Mercredi</t>
  </si>
  <si>
    <t>Jeudi</t>
  </si>
  <si>
    <t>Vendredi</t>
  </si>
  <si>
    <t>Samedi</t>
  </si>
  <si>
    <t>Total</t>
  </si>
  <si>
    <t>2. Établissez la fiche d’évaluation des stocks de cerises de la quatrième semaine de juin en utilisant la méthode du CUMP calculé sur l’ensemble de la semaine.</t>
  </si>
  <si>
    <t>Quantités</t>
  </si>
  <si>
    <t xml:space="preserve">Mouvements de socks de cerises de la 4ème semaine </t>
  </si>
  <si>
    <t>Entrées en kg</t>
  </si>
  <si>
    <t>Sorties en kg</t>
  </si>
  <si>
    <t>3. Établissez la fiche d’évaluation des stocks de cerises de la quatrième semaine de juin en utilisant la méthode du premier entré premier sorti.</t>
  </si>
  <si>
    <t>Stock final avec CUMP calculé après chaque entrée</t>
  </si>
  <si>
    <t>Stock final avec CUMP calculé sur une période</t>
  </si>
  <si>
    <t>Stock final évalué avec la méthode PEPS</t>
  </si>
  <si>
    <t>4. Comparez les résultats des stocks finaux théoriques obtenus par ces trois méthodes. Commentez.</t>
  </si>
  <si>
    <t>Mission 2 Réaliser l'inventaire des stocks</t>
  </si>
  <si>
    <r>
      <t xml:space="preserve">5. Calculez et constatez </t>
    </r>
    <r>
      <rPr>
        <b/>
        <sz val="8"/>
        <color theme="1"/>
        <rFont val="Calibri"/>
        <family val="2"/>
        <scheme val="minor"/>
      </rPr>
      <t>  </t>
    </r>
    <r>
      <rPr>
        <b/>
        <sz val="12"/>
        <color theme="1"/>
        <rFont val="Calibri"/>
        <family val="2"/>
        <scheme val="minor"/>
      </rPr>
      <t xml:space="preserve">les différences d’inventaire entre les quantités réelles et les quantités théoriques en stock à la fin de chaque semaine du mois de juin. </t>
    </r>
  </si>
  <si>
    <t>Différence d’inventaire = Stock réel – Stock théorique</t>
  </si>
  <si>
    <t>Semaine 1</t>
  </si>
  <si>
    <t>Semaine 2</t>
  </si>
  <si>
    <t>Semaine 3</t>
  </si>
  <si>
    <t>Semaine 4</t>
  </si>
  <si>
    <t>Stock final réel en kg</t>
  </si>
  <si>
    <t>Stock final théorique en kg</t>
  </si>
  <si>
    <t>DIFFERENCE D'INVENTAIRE</t>
  </si>
  <si>
    <t>Ressource 9: Entrées et sorties de stocks de cerises de la 4ème semaine de juin</t>
  </si>
  <si>
    <t>Ressource 10: Fiches d'évaluation des stocks des 4 semaines de juin</t>
  </si>
  <si>
    <t xml:space="preserve">6. Evaluez les écarts en valeur du coût d’achat sur les stocks de cerises pour chaque semaine du mois de juin. </t>
  </si>
  <si>
    <t>SF réel</t>
  </si>
  <si>
    <t>SF théorique</t>
  </si>
  <si>
    <t>Ecart d'inventaire EN QUANTITES</t>
  </si>
  <si>
    <t>Coût d'achat moyen</t>
  </si>
  <si>
    <t>Ecarts d'inventaire EN VALEUR</t>
  </si>
  <si>
    <t>CHAP 5 VALORISER LES STOCKS ET REALISER DES INVENTAIRES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</si>
</sst>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 _€_-;\-* #,##0.00\ _€_-;_-* &quot;-&quot;??\ _€_-;_-@_-"/>
    <numFmt numFmtId="164" formatCode="_-* #,##0\ _F_-;\-* #,##0\ _F_-;_-* &quot;-&quot;??\ _F_-;_-@_-"/>
    <numFmt numFmtId="165" formatCode="_-* #,##0.00\ _F_-;\-* #,##0.00\ _F_-;_-* &quot;-&quot;??\ _F_-;_-@_-"/>
    <numFmt numFmtId="166" formatCode="_-* #,##0\ _F_-;\-* #,##0\ _F_-;_-* &quot;-&quot;\ _F_-;_-@_-"/>
    <numFmt numFmtId="167" formatCode="_-* #,##0.000\ _F_-;\-* #,##0.000\ _F_-;_-* &quot;-&quot;??\ _F_-;_-@_-"/>
    <numFmt numFmtId="168" formatCode="_-* #,##0.00000\ _F_-;\-* #,##0.00000\ _F_-;_-* &quot;-&quot;??\ _F_-;_-@_-"/>
    <numFmt numFmtId="169" formatCode="0.0000"/>
  </numFmts>
  <fonts count="13"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b/>
      <sz val="12"/>
      <name val="Calibri"/>
      <family val="2"/>
      <scheme val="minor"/>
    </font>
    <font>
      <sz val="11"/>
      <color theme="1"/>
      <name val="Calibri"/>
      <family val="2"/>
      <scheme val="minor"/>
    </font>
    <font>
      <sz val="12"/>
      <name val="Calibri"/>
      <family val="2"/>
      <scheme val="minor"/>
    </font>
    <font>
      <b/>
      <sz val="12"/>
      <color rgb="FF0000FF"/>
      <name val="Calibri"/>
      <family val="2"/>
      <scheme val="minor"/>
    </font>
    <font>
      <b/>
      <vertAlign val="superscript"/>
      <sz val="12"/>
      <color rgb="FF0000FF"/>
      <name val="Calibri"/>
      <family val="2"/>
      <scheme val="minor"/>
    </font>
    <font>
      <b/>
      <sz val="9"/>
      <color indexed="81"/>
      <name val="Tahoma"/>
      <family val="2"/>
    </font>
    <font>
      <sz val="9"/>
      <color indexed="81"/>
      <name val="Tahoma"/>
      <family val="2"/>
    </font>
    <font>
      <b/>
      <sz val="8"/>
      <color theme="1"/>
      <name val="Calibri"/>
      <family val="2"/>
      <scheme val="minor"/>
    </font>
    <font>
      <sz val="8"/>
      <color theme="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rgb="FFFFCCFF"/>
        <bgColor indexed="64"/>
      </patternFill>
    </fill>
    <fill>
      <patternFill patternType="solid">
        <fgColor rgb="FF00FF00"/>
        <bgColor indexed="64"/>
      </patternFill>
    </fill>
    <fill>
      <patternFill patternType="solid">
        <fgColor rgb="FF00FFFF"/>
        <bgColor indexed="64"/>
      </patternFill>
    </fill>
    <fill>
      <patternFill patternType="solid">
        <fgColor rgb="FFFFCCFF"/>
        <bgColor rgb="FF000000"/>
      </patternFill>
    </fill>
    <fill>
      <patternFill patternType="solid">
        <fgColor rgb="FFFFFF00"/>
        <bgColor rgb="FF000000"/>
      </patternFill>
    </fill>
    <fill>
      <patternFill patternType="solid">
        <fgColor theme="4" tint="0.59999389629810485"/>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DDEBF7"/>
        <bgColor rgb="FF000000"/>
      </patternFill>
    </fill>
    <fill>
      <patternFill patternType="solid">
        <fgColor rgb="FFA6A6A6"/>
        <bgColor rgb="FF000000"/>
      </patternFill>
    </fill>
    <fill>
      <patternFill patternType="solid">
        <fgColor rgb="FF66FFFF"/>
        <bgColor rgb="FF000000"/>
      </patternFill>
    </fill>
    <fill>
      <patternFill patternType="solid">
        <fgColor rgb="FF66FF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5" fillId="0" borderId="0" applyFont="0" applyFill="0" applyBorder="0" applyAlignment="0" applyProtection="0"/>
  </cellStyleXfs>
  <cellXfs count="114">
    <xf numFmtId="0" fontId="0" fillId="0" borderId="0" xfId="0"/>
    <xf numFmtId="0" fontId="2" fillId="0" borderId="0" xfId="0" applyFont="1"/>
    <xf numFmtId="0" fontId="1" fillId="4" borderId="0" xfId="0" applyFont="1" applyFill="1"/>
    <xf numFmtId="0" fontId="4" fillId="4" borderId="0" xfId="0" applyFont="1" applyFill="1"/>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3" borderId="0" xfId="0" applyFont="1" applyFill="1"/>
    <xf numFmtId="0" fontId="6" fillId="3" borderId="0" xfId="0" applyFont="1" applyFill="1"/>
    <xf numFmtId="0" fontId="6" fillId="0" borderId="0" xfId="0" applyFont="1"/>
    <xf numFmtId="0" fontId="4" fillId="2" borderId="0" xfId="0" applyFont="1" applyFill="1"/>
    <xf numFmtId="0" fontId="6" fillId="2" borderId="0" xfId="0" applyFont="1" applyFill="1"/>
    <xf numFmtId="0" fontId="7" fillId="5" borderId="0" xfId="0" applyFont="1" applyFill="1" applyAlignment="1">
      <alignment vertical="center"/>
    </xf>
    <xf numFmtId="0" fontId="6" fillId="5" borderId="0" xfId="0" applyFont="1" applyFill="1"/>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2" fillId="0" borderId="0" xfId="0" applyFont="1" applyBorder="1" applyAlignment="1">
      <alignment horizontal="center" vertical="center" wrapText="1"/>
    </xf>
    <xf numFmtId="0" fontId="6" fillId="0" borderId="0" xfId="0" applyFont="1" applyBorder="1" applyAlignment="1">
      <alignment horizontal="center" vertical="center"/>
    </xf>
    <xf numFmtId="0" fontId="0" fillId="0" borderId="1" xfId="0" applyFont="1" applyBorder="1" applyAlignment="1">
      <alignment vertical="center"/>
    </xf>
    <xf numFmtId="0" fontId="0" fillId="0" borderId="1" xfId="0" applyFont="1" applyBorder="1" applyAlignment="1">
      <alignment horizontal="center" vertical="center"/>
    </xf>
    <xf numFmtId="164" fontId="4" fillId="4" borderId="0" xfId="0" applyNumberFormat="1" applyFont="1" applyFill="1"/>
    <xf numFmtId="165" fontId="4" fillId="4" borderId="0" xfId="0" applyNumberFormat="1" applyFont="1" applyFill="1"/>
    <xf numFmtId="0" fontId="6" fillId="4" borderId="0" xfId="0" applyFont="1" applyFill="1"/>
    <xf numFmtId="165" fontId="6" fillId="0" borderId="1" xfId="0" applyNumberFormat="1" applyFont="1" applyBorder="1" applyAlignment="1">
      <alignment horizontal="center" vertical="center" wrapText="1"/>
    </xf>
    <xf numFmtId="166" fontId="6" fillId="0" borderId="1" xfId="0" applyNumberFormat="1" applyFont="1" applyBorder="1" applyAlignment="1">
      <alignment horizontal="center" vertical="center" wrapText="1"/>
    </xf>
    <xf numFmtId="165" fontId="6" fillId="0" borderId="0" xfId="0" applyNumberFormat="1" applyFont="1" applyAlignment="1">
      <alignment horizontal="right" vertical="center"/>
    </xf>
    <xf numFmtId="166" fontId="6" fillId="0" borderId="1" xfId="0" applyNumberFormat="1" applyFont="1" applyFill="1" applyBorder="1" applyAlignment="1" applyProtection="1">
      <alignment horizontal="center" vertical="center"/>
      <protection locked="0"/>
    </xf>
    <xf numFmtId="165" fontId="6" fillId="0" borderId="1" xfId="0" applyNumberFormat="1" applyFont="1" applyFill="1" applyBorder="1" applyAlignment="1" applyProtection="1">
      <alignment horizontal="center" vertical="center"/>
      <protection locked="0"/>
    </xf>
    <xf numFmtId="165" fontId="6" fillId="0" borderId="1" xfId="0" applyNumberFormat="1" applyFont="1" applyFill="1" applyBorder="1" applyAlignment="1">
      <alignment horizontal="right" vertical="center"/>
    </xf>
    <xf numFmtId="0" fontId="6" fillId="0" borderId="1" xfId="0" applyFont="1" applyFill="1" applyBorder="1" applyAlignment="1">
      <alignment horizontal="center" vertical="center"/>
    </xf>
    <xf numFmtId="167" fontId="4" fillId="0" borderId="1" xfId="0" applyNumberFormat="1" applyFont="1" applyBorder="1" applyAlignment="1">
      <alignment horizontal="center" vertical="center"/>
    </xf>
    <xf numFmtId="167" fontId="6" fillId="0" borderId="1" xfId="0" applyNumberFormat="1" applyFont="1" applyFill="1" applyBorder="1" applyAlignment="1" applyProtection="1">
      <alignment horizontal="center" vertical="center"/>
      <protection locked="0"/>
    </xf>
    <xf numFmtId="2" fontId="6" fillId="0" borderId="1" xfId="0" applyNumberFormat="1" applyFont="1" applyFill="1" applyBorder="1" applyAlignment="1" applyProtection="1">
      <alignment horizontal="center" vertical="center"/>
      <protection locked="0"/>
    </xf>
    <xf numFmtId="166" fontId="6" fillId="0" borderId="1" xfId="0" applyNumberFormat="1" applyFont="1" applyBorder="1" applyAlignment="1">
      <alignment horizontal="center" vertical="center"/>
    </xf>
    <xf numFmtId="168" fontId="6" fillId="0" borderId="1" xfId="0" applyNumberFormat="1" applyFont="1" applyFill="1" applyBorder="1" applyAlignment="1" applyProtection="1">
      <alignment horizontal="center" vertical="center"/>
      <protection locked="0"/>
    </xf>
    <xf numFmtId="2" fontId="6" fillId="0" borderId="1" xfId="0" applyNumberFormat="1" applyFont="1" applyBorder="1" applyAlignment="1">
      <alignment horizontal="center" vertical="center"/>
    </xf>
    <xf numFmtId="0" fontId="4" fillId="6" borderId="0" xfId="0" applyFont="1" applyFill="1"/>
    <xf numFmtId="0" fontId="4" fillId="7" borderId="0" xfId="0" applyFont="1" applyFill="1"/>
    <xf numFmtId="0" fontId="2" fillId="0" borderId="1" xfId="0" applyFont="1" applyBorder="1" applyAlignment="1">
      <alignment vertical="center"/>
    </xf>
    <xf numFmtId="0" fontId="4" fillId="8" borderId="1" xfId="0" applyFont="1" applyFill="1" applyBorder="1" applyAlignment="1">
      <alignment horizontal="center" vertical="center"/>
    </xf>
    <xf numFmtId="39"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wrapText="1"/>
    </xf>
    <xf numFmtId="39" fontId="6" fillId="0" borderId="1" xfId="0" applyNumberFormat="1" applyFont="1" applyBorder="1" applyAlignment="1">
      <alignment horizontal="center" vertical="center" wrapText="1"/>
    </xf>
    <xf numFmtId="0" fontId="6" fillId="0" borderId="0" xfId="0" applyFont="1" applyAlignment="1">
      <alignment horizontal="left"/>
    </xf>
    <xf numFmtId="168" fontId="6" fillId="0" borderId="0" xfId="0" applyNumberFormat="1" applyFont="1"/>
    <xf numFmtId="169" fontId="6" fillId="0" borderId="0" xfId="0" applyNumberFormat="1" applyFont="1"/>
    <xf numFmtId="166" fontId="6" fillId="10" borderId="1" xfId="0" applyNumberFormat="1" applyFont="1" applyFill="1" applyBorder="1" applyAlignment="1" applyProtection="1">
      <alignment horizontal="center" vertical="center"/>
      <protection locked="0"/>
    </xf>
    <xf numFmtId="165" fontId="6" fillId="10" borderId="1" xfId="0" applyNumberFormat="1" applyFont="1" applyFill="1" applyBorder="1" applyAlignment="1" applyProtection="1">
      <alignment horizontal="center" vertical="center"/>
      <protection locked="0"/>
    </xf>
    <xf numFmtId="167" fontId="6" fillId="10" borderId="1" xfId="0" applyNumberFormat="1" applyFont="1" applyFill="1" applyBorder="1" applyAlignment="1" applyProtection="1">
      <alignment horizontal="center" vertical="center"/>
      <protection locked="0"/>
    </xf>
    <xf numFmtId="165" fontId="4" fillId="10" borderId="1" xfId="0" applyNumberFormat="1" applyFont="1" applyFill="1" applyBorder="1" applyAlignment="1" applyProtection="1">
      <alignment horizontal="center" vertical="center"/>
      <protection locked="0"/>
    </xf>
    <xf numFmtId="166" fontId="4" fillId="10" borderId="1" xfId="0" applyNumberFormat="1" applyFont="1" applyFill="1" applyBorder="1" applyAlignment="1">
      <alignment horizontal="center" vertical="center"/>
    </xf>
    <xf numFmtId="2" fontId="4" fillId="10" borderId="1" xfId="0" applyNumberFormat="1" applyFont="1" applyFill="1" applyBorder="1" applyAlignment="1">
      <alignment horizontal="center" vertical="center"/>
    </xf>
    <xf numFmtId="0" fontId="6" fillId="0" borderId="2" xfId="0" applyFont="1" applyBorder="1" applyAlignment="1">
      <alignment horizontal="center" vertical="center" wrapText="1"/>
    </xf>
    <xf numFmtId="39" fontId="6" fillId="0" borderId="2" xfId="0" applyNumberFormat="1" applyFont="1" applyBorder="1" applyAlignment="1">
      <alignment horizontal="center" vertical="center" wrapText="1"/>
    </xf>
    <xf numFmtId="39" fontId="6" fillId="0" borderId="2" xfId="0" applyNumberFormat="1" applyFont="1" applyBorder="1" applyAlignment="1">
      <alignment horizontal="center" vertical="center"/>
    </xf>
    <xf numFmtId="39" fontId="6" fillId="0" borderId="6" xfId="0" applyNumberFormat="1" applyFont="1" applyBorder="1" applyAlignment="1">
      <alignment horizontal="center" vertical="center"/>
    </xf>
    <xf numFmtId="0" fontId="6" fillId="11" borderId="3" xfId="0" applyFont="1" applyFill="1" applyBorder="1" applyAlignment="1">
      <alignment horizontal="center" vertical="center"/>
    </xf>
    <xf numFmtId="39" fontId="6" fillId="11" borderId="3" xfId="0" applyNumberFormat="1" applyFont="1" applyFill="1" applyBorder="1" applyAlignment="1">
      <alignment horizontal="center" vertical="center"/>
    </xf>
    <xf numFmtId="39" fontId="6" fillId="0" borderId="3" xfId="0" applyNumberFormat="1" applyFont="1" applyBorder="1" applyAlignment="1">
      <alignment horizontal="center" vertical="center"/>
    </xf>
    <xf numFmtId="39" fontId="6" fillId="11" borderId="3" xfId="0" applyNumberFormat="1" applyFont="1" applyFill="1" applyBorder="1" applyAlignment="1">
      <alignment horizontal="right" vertical="center"/>
    </xf>
    <xf numFmtId="0" fontId="6" fillId="12" borderId="3" xfId="0" applyFont="1" applyFill="1" applyBorder="1" applyAlignment="1">
      <alignment horizontal="center" vertical="center"/>
    </xf>
    <xf numFmtId="39" fontId="4" fillId="10" borderId="1" xfId="0" applyNumberFormat="1" applyFont="1" applyFill="1" applyBorder="1" applyAlignment="1">
      <alignment horizontal="center" vertical="center"/>
    </xf>
    <xf numFmtId="39" fontId="6" fillId="10" borderId="1" xfId="0" applyNumberFormat="1" applyFont="1" applyFill="1" applyBorder="1" applyAlignment="1">
      <alignment horizontal="right" vertical="center"/>
    </xf>
    <xf numFmtId="0" fontId="6" fillId="0" borderId="0" xfId="0" applyFont="1" applyAlignment="1">
      <alignment horizontal="center"/>
    </xf>
    <xf numFmtId="0" fontId="6" fillId="0" borderId="0" xfId="0" applyFont="1" applyAlignment="1">
      <alignment vertical="center"/>
    </xf>
    <xf numFmtId="165" fontId="6" fillId="0" borderId="0" xfId="0" applyNumberFormat="1" applyFont="1" applyAlignment="1">
      <alignment horizontal="center" vertical="center"/>
    </xf>
    <xf numFmtId="165" fontId="6" fillId="0" borderId="1" xfId="0" applyNumberFormat="1" applyFont="1" applyFill="1" applyBorder="1" applyAlignment="1">
      <alignment horizontal="center" vertical="center"/>
    </xf>
    <xf numFmtId="0" fontId="6" fillId="0" borderId="0" xfId="1" applyNumberFormat="1" applyFont="1" applyAlignment="1">
      <alignment horizontal="center"/>
    </xf>
    <xf numFmtId="165" fontId="6" fillId="0" borderId="0" xfId="0" applyNumberFormat="1" applyFont="1"/>
    <xf numFmtId="166" fontId="6" fillId="0" borderId="0" xfId="0" applyNumberFormat="1" applyFont="1"/>
    <xf numFmtId="0" fontId="0" fillId="4" borderId="0" xfId="0" applyFill="1"/>
    <xf numFmtId="0" fontId="0" fillId="0" borderId="1" xfId="0" applyBorder="1" applyAlignment="1">
      <alignment wrapText="1"/>
    </xf>
    <xf numFmtId="0" fontId="0" fillId="0" borderId="0" xfId="0" applyAlignment="1">
      <alignment wrapText="1"/>
    </xf>
    <xf numFmtId="39" fontId="4" fillId="11" borderId="1" xfId="0" applyNumberFormat="1" applyFont="1" applyFill="1" applyBorder="1" applyAlignment="1">
      <alignment horizontal="right" vertical="center"/>
    </xf>
    <xf numFmtId="0" fontId="4" fillId="13" borderId="0" xfId="0" applyFont="1" applyFill="1"/>
    <xf numFmtId="0" fontId="4" fillId="0" borderId="0" xfId="0" applyFont="1" applyFill="1"/>
    <xf numFmtId="0" fontId="0" fillId="0" borderId="0" xfId="0" applyFill="1"/>
    <xf numFmtId="0" fontId="1" fillId="0" borderId="0" xfId="0" applyFont="1" applyFill="1"/>
    <xf numFmtId="0" fontId="1" fillId="10" borderId="1" xfId="0" applyFont="1" applyFill="1" applyBorder="1" applyAlignment="1">
      <alignment horizontal="center" vertical="center"/>
    </xf>
    <xf numFmtId="0" fontId="4" fillId="10" borderId="1" xfId="0" applyFont="1" applyFill="1" applyBorder="1" applyAlignment="1">
      <alignment horizontal="center" vertical="center"/>
    </xf>
    <xf numFmtId="0" fontId="6" fillId="0" borderId="0" xfId="0" applyFont="1" applyFill="1"/>
    <xf numFmtId="0" fontId="4" fillId="0" borderId="0" xfId="0" applyFont="1"/>
    <xf numFmtId="0" fontId="4" fillId="14" borderId="0" xfId="0" applyFont="1" applyFill="1"/>
    <xf numFmtId="0" fontId="6" fillId="0" borderId="0" xfId="0" applyNumberFormat="1" applyFont="1"/>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1" fillId="14" borderId="0" xfId="0" applyFont="1" applyFill="1" applyAlignment="1">
      <alignment horizontal="left"/>
    </xf>
    <xf numFmtId="0" fontId="4" fillId="14" borderId="0" xfId="0" applyFont="1" applyFill="1" applyAlignment="1">
      <alignment horizontal="left"/>
    </xf>
    <xf numFmtId="0" fontId="12" fillId="0" borderId="0" xfId="0" applyFont="1" applyAlignment="1">
      <alignment vertical="center"/>
    </xf>
    <xf numFmtId="0" fontId="6" fillId="0" borderId="1" xfId="0" applyNumberFormat="1" applyFont="1" applyBorder="1" applyAlignment="1">
      <alignment horizontal="left" vertical="top" wrapText="1"/>
    </xf>
    <xf numFmtId="39" fontId="6" fillId="0" borderId="1" xfId="0" applyNumberFormat="1" applyFont="1" applyBorder="1" applyAlignment="1">
      <alignment horizontal="left" vertical="top" wrapText="1"/>
    </xf>
    <xf numFmtId="39" fontId="6" fillId="0" borderId="1" xfId="0" applyNumberFormat="1" applyFont="1" applyBorder="1" applyAlignment="1">
      <alignment horizontal="left"/>
    </xf>
    <xf numFmtId="39" fontId="6" fillId="0" borderId="1" xfId="0" applyNumberFormat="1" applyFont="1" applyBorder="1" applyAlignment="1"/>
    <xf numFmtId="0" fontId="6" fillId="0" borderId="1" xfId="0" applyFont="1" applyBorder="1"/>
    <xf numFmtId="39" fontId="6" fillId="0" borderId="1" xfId="0" applyNumberFormat="1" applyFont="1" applyBorder="1" applyAlignment="1">
      <alignment horizontal="right"/>
    </xf>
    <xf numFmtId="39" fontId="6" fillId="0" borderId="4" xfId="0" applyNumberFormat="1" applyFont="1" applyBorder="1" applyAlignment="1">
      <alignment horizontal="left" vertical="top" wrapText="1"/>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6" fillId="10" borderId="1" xfId="0" applyFont="1" applyFill="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2" xfId="0" applyFont="1" applyBorder="1" applyAlignment="1">
      <alignment horizontal="center" vertical="center"/>
    </xf>
    <xf numFmtId="165" fontId="6" fillId="10" borderId="7" xfId="0" applyNumberFormat="1" applyFont="1" applyFill="1" applyBorder="1" applyAlignment="1" applyProtection="1">
      <alignment horizontal="center" vertical="center"/>
      <protection locked="0"/>
    </xf>
    <xf numFmtId="165" fontId="6" fillId="10" borderId="6" xfId="0" applyNumberFormat="1" applyFont="1" applyFill="1" applyBorder="1" applyAlignment="1" applyProtection="1">
      <alignment horizontal="center" vertical="center"/>
      <protection locked="0"/>
    </xf>
    <xf numFmtId="166" fontId="6" fillId="10" borderId="7" xfId="0" applyNumberFormat="1" applyFont="1" applyFill="1" applyBorder="1" applyAlignment="1" applyProtection="1">
      <alignment horizontal="center" vertical="center"/>
      <protection locked="0"/>
    </xf>
    <xf numFmtId="166" fontId="6" fillId="10" borderId="6" xfId="0" applyNumberFormat="1" applyFont="1" applyFill="1" applyBorder="1" applyAlignment="1" applyProtection="1">
      <alignment horizontal="center" vertical="center"/>
      <protection locked="0"/>
    </xf>
    <xf numFmtId="165" fontId="6" fillId="0" borderId="7" xfId="0" applyNumberFormat="1" applyFont="1" applyFill="1" applyBorder="1" applyAlignment="1">
      <alignment horizontal="center" vertical="center"/>
    </xf>
    <xf numFmtId="165" fontId="6" fillId="0" borderId="6" xfId="0" applyNumberFormat="1" applyFont="1" applyFill="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vertical="center"/>
    </xf>
  </cellXfs>
  <cellStyles count="2">
    <cellStyle name="Milliers" xfId="1" builtinId="3"/>
    <cellStyle name="Normal" xfId="0" builtinId="0"/>
  </cellStyles>
  <dxfs count="0"/>
  <tableStyles count="0" defaultTableStyle="TableStyleMedium2" defaultPivotStyle="PivotStyleLight16"/>
  <colors>
    <mruColors>
      <color rgb="FF66FFFF"/>
      <color rgb="FF00FF00"/>
      <color rgb="FFFFCCFF"/>
      <color rgb="FF00FF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104774</xdr:colOff>
      <xdr:row>6</xdr:row>
      <xdr:rowOff>57150</xdr:rowOff>
    </xdr:from>
    <xdr:to>
      <xdr:col>12</xdr:col>
      <xdr:colOff>38099</xdr:colOff>
      <xdr:row>16</xdr:row>
      <xdr:rowOff>171450</xdr:rowOff>
    </xdr:to>
    <xdr:sp macro="" textlink="">
      <xdr:nvSpPr>
        <xdr:cNvPr id="2" name="ZoneTexte 1"/>
        <xdr:cNvSpPr txBox="1"/>
      </xdr:nvSpPr>
      <xdr:spPr>
        <a:xfrm>
          <a:off x="2695574" y="1247775"/>
          <a:ext cx="7553325" cy="25908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dk1"/>
              </a:solidFill>
              <a:effectLst/>
              <a:latin typeface="+mn-lt"/>
              <a:ea typeface="+mn-ea"/>
              <a:cs typeface="+mn-cs"/>
            </a:rPr>
            <a:t>Commentaire:</a:t>
          </a:r>
          <a:r>
            <a:rPr lang="fr-FR" sz="1100" b="1" baseline="0">
              <a:solidFill>
                <a:schemeClr val="dk1"/>
              </a:solidFill>
              <a:effectLst/>
              <a:latin typeface="+mn-lt"/>
              <a:ea typeface="+mn-ea"/>
              <a:cs typeface="+mn-cs"/>
            </a:rPr>
            <a:t> </a:t>
          </a:r>
          <a:endParaRPr lang="fr-FR" sz="1100" b="1">
            <a:solidFill>
              <a:schemeClr val="dk1"/>
            </a:solidFill>
            <a:effectLst/>
            <a:latin typeface="+mn-lt"/>
            <a:ea typeface="+mn-ea"/>
            <a:cs typeface="+mn-cs"/>
          </a:endParaRPr>
        </a:p>
        <a:p>
          <a:endParaRPr lang="fr-FR" sz="1100" b="1">
            <a:solidFill>
              <a:schemeClr val="dk1"/>
            </a:solidFill>
            <a:effectLst/>
            <a:latin typeface="+mn-lt"/>
            <a:ea typeface="+mn-ea"/>
            <a:cs typeface="+mn-cs"/>
          </a:endParaRPr>
        </a:p>
        <a:p>
          <a:pPr lvl="0"/>
          <a:r>
            <a:rPr lang="fr-FR" sz="1100">
              <a:solidFill>
                <a:schemeClr val="dk1"/>
              </a:solidFill>
              <a:effectLst/>
              <a:latin typeface="+mn-lt"/>
              <a:ea typeface="+mn-ea"/>
              <a:cs typeface="+mn-cs"/>
            </a:rPr>
            <a:t> La méthode du Coût Unitaire Moyen Pondéré calculé après chaque entrée permet un suivi précis de l’évolution de la valeur des stocks. La valeur des stocks résulte d’une moyenne calculée sur les dernières entrées. Elle nécessite la connaissance précise des coûts d’entrée, mais les outils informatiques favorisent la mise en œuvre de cette méthode.</a:t>
          </a:r>
        </a:p>
        <a:p>
          <a:pPr lvl="0"/>
          <a:endParaRPr lang="fr-FR" sz="1100">
            <a:solidFill>
              <a:schemeClr val="dk1"/>
            </a:solidFill>
            <a:effectLst/>
            <a:latin typeface="+mn-lt"/>
            <a:ea typeface="+mn-ea"/>
            <a:cs typeface="+mn-cs"/>
          </a:endParaRPr>
        </a:p>
        <a:p>
          <a:pPr lvl="0"/>
          <a:r>
            <a:rPr lang="fr-FR" sz="1100">
              <a:solidFill>
                <a:schemeClr val="dk1"/>
              </a:solidFill>
              <a:effectLst/>
              <a:latin typeface="+mn-lt"/>
              <a:ea typeface="+mn-ea"/>
              <a:cs typeface="+mn-cs"/>
            </a:rPr>
            <a:t>La méthode du Coût Unitaire Moyen Pondéré calculé sur la période donne une évaluation à partir de la moyenne des coûts d’entrées des stocks. L’évaluation des sorties de stock ne peut être réalisée qu'en fin de période, et entraîne un nivellement des variations des coûts d’approvisionnements sur la période.</a:t>
          </a:r>
        </a:p>
        <a:p>
          <a:pPr lvl="0"/>
          <a:endParaRPr lang="fr-FR" sz="1100">
            <a:solidFill>
              <a:schemeClr val="dk1"/>
            </a:solidFill>
            <a:effectLst/>
            <a:latin typeface="+mn-lt"/>
            <a:ea typeface="+mn-ea"/>
            <a:cs typeface="+mn-cs"/>
          </a:endParaRPr>
        </a:p>
        <a:p>
          <a:pPr lvl="0"/>
          <a:r>
            <a:rPr lang="fr-FR" sz="1100">
              <a:solidFill>
                <a:schemeClr val="dk1"/>
              </a:solidFill>
              <a:effectLst/>
              <a:latin typeface="+mn-lt"/>
              <a:ea typeface="+mn-ea"/>
              <a:cs typeface="+mn-cs"/>
            </a:rPr>
            <a:t>La méthode du « Premier Entré – Premier Sorti » nécessite une identification, une gestion différenciée et la connaissance du coût unitaire de chaque lot. Les sorties d’une même journée peuvent être valorisées à des coûts unitaires différents. Elle paraît logique pour les produits périssables car les marchandises achetées en premier sortent du stock en premier.</a:t>
          </a:r>
        </a:p>
        <a:p>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561975</xdr:colOff>
      <xdr:row>17</xdr:row>
      <xdr:rowOff>47625</xdr:rowOff>
    </xdr:from>
    <xdr:to>
      <xdr:col>7</xdr:col>
      <xdr:colOff>276225</xdr:colOff>
      <xdr:row>22</xdr:row>
      <xdr:rowOff>57150</xdr:rowOff>
    </xdr:to>
    <xdr:sp macro="" textlink="">
      <xdr:nvSpPr>
        <xdr:cNvPr id="2" name="ZoneTexte 1"/>
        <xdr:cNvSpPr txBox="1"/>
      </xdr:nvSpPr>
      <xdr:spPr>
        <a:xfrm>
          <a:off x="561975" y="2562225"/>
          <a:ext cx="6819900" cy="10096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fr-FR" sz="1200" b="1">
              <a:solidFill>
                <a:schemeClr val="dk1"/>
              </a:solidFill>
              <a:effectLst/>
              <a:latin typeface="+mn-lt"/>
              <a:ea typeface="+mn-ea"/>
              <a:cs typeface="+mn-cs"/>
            </a:rPr>
            <a:t>COMMENTAIRE:</a:t>
          </a:r>
        </a:p>
        <a:p>
          <a:r>
            <a:rPr lang="fr-FR" sz="1200">
              <a:solidFill>
                <a:schemeClr val="dk1"/>
              </a:solidFill>
              <a:effectLst/>
              <a:latin typeface="+mn-lt"/>
              <a:ea typeface="+mn-ea"/>
              <a:cs typeface="+mn-cs"/>
            </a:rPr>
            <a:t>Les semaines 1, 2 et 4 on constate un écart négatif : il y a moins de stock en quantité issu du comptage physique par rapport au stock théorique calculé à partir des achats réalisés et des ventes facturées.</a:t>
          </a:r>
        </a:p>
        <a:p>
          <a:r>
            <a:rPr lang="fr-FR" sz="1200">
              <a:solidFill>
                <a:schemeClr val="dk1"/>
              </a:solidFill>
              <a:effectLst/>
              <a:latin typeface="+mn-lt"/>
              <a:ea typeface="+mn-ea"/>
              <a:cs typeface="+mn-cs"/>
            </a:rPr>
            <a:t>La semaine 3, l’écart est positif : cela signifie qu’on constate réellement plus de stock que ce que donne le calcul du stock théorique.</a:t>
          </a:r>
        </a:p>
        <a:p>
          <a:endParaRPr lang="fr-FR" sz="1100" b="1">
            <a:solidFill>
              <a:schemeClr val="dk1"/>
            </a:solidFill>
            <a:effectLst/>
            <a:latin typeface="+mn-lt"/>
            <a:ea typeface="+mn-ea"/>
            <a:cs typeface="+mn-cs"/>
          </a:endParaRPr>
        </a:p>
        <a:p>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876300</xdr:colOff>
      <xdr:row>43</xdr:row>
      <xdr:rowOff>180974</xdr:rowOff>
    </xdr:from>
    <xdr:to>
      <xdr:col>7</xdr:col>
      <xdr:colOff>571500</xdr:colOff>
      <xdr:row>52</xdr:row>
      <xdr:rowOff>9524</xdr:rowOff>
    </xdr:to>
    <xdr:sp macro="" textlink="">
      <xdr:nvSpPr>
        <xdr:cNvPr id="2" name="ZoneTexte 1"/>
        <xdr:cNvSpPr txBox="1"/>
      </xdr:nvSpPr>
      <xdr:spPr>
        <a:xfrm>
          <a:off x="876300" y="10001249"/>
          <a:ext cx="6819900" cy="16287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fr-FR" sz="1200" b="1">
              <a:solidFill>
                <a:schemeClr val="dk1"/>
              </a:solidFill>
              <a:effectLst/>
              <a:latin typeface="+mn-lt"/>
              <a:ea typeface="+mn-ea"/>
              <a:cs typeface="+mn-cs"/>
            </a:rPr>
            <a:t>COMMENTAIRE:</a:t>
          </a:r>
        </a:p>
        <a:p>
          <a:pPr marL="0" marR="0" indent="0" defTabSz="914400" eaLnBrk="1" fontAlgn="auto" latinLnBrk="0" hangingPunct="1">
            <a:lnSpc>
              <a:spcPct val="100000"/>
            </a:lnSpc>
            <a:spcBef>
              <a:spcPts val="0"/>
            </a:spcBef>
            <a:spcAft>
              <a:spcPts val="0"/>
            </a:spcAft>
            <a:buClrTx/>
            <a:buSzTx/>
            <a:buFontTx/>
            <a:buNone/>
            <a:tabLst/>
            <a:defRPr/>
          </a:pPr>
          <a:r>
            <a:rPr lang="fr-FR" sz="1200">
              <a:solidFill>
                <a:schemeClr val="dk1"/>
              </a:solidFill>
              <a:effectLst/>
              <a:latin typeface="+mn-lt"/>
              <a:ea typeface="+mn-ea"/>
              <a:cs typeface="+mn-cs"/>
            </a:rPr>
            <a:t> On constate un montant de démarque de 92,04 € sur le mois de juin.</a:t>
          </a:r>
        </a:p>
        <a:p>
          <a:pPr marL="0" marR="0" indent="0" defTabSz="914400" eaLnBrk="1" fontAlgn="auto" latinLnBrk="0" hangingPunct="1">
            <a:lnSpc>
              <a:spcPct val="100000"/>
            </a:lnSpc>
            <a:spcBef>
              <a:spcPts val="0"/>
            </a:spcBef>
            <a:spcAft>
              <a:spcPts val="0"/>
            </a:spcAft>
            <a:buClrTx/>
            <a:buSzTx/>
            <a:buFontTx/>
            <a:buNone/>
            <a:tabLst/>
            <a:defRPr/>
          </a:pPr>
          <a:endParaRPr lang="fr-FR" sz="12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fr-FR" sz="1200">
              <a:solidFill>
                <a:schemeClr val="dk1"/>
              </a:solidFill>
              <a:effectLst/>
              <a:latin typeface="+mn-lt"/>
              <a:ea typeface="+mn-ea"/>
              <a:cs typeface="+mn-cs"/>
            </a:rPr>
            <a:t>Les semaines 1, 2 et 4 indiquent une démarque . </a:t>
          </a:r>
        </a:p>
        <a:p>
          <a:pPr marL="0" marR="0" indent="0" defTabSz="914400" eaLnBrk="1" fontAlgn="auto" latinLnBrk="0" hangingPunct="1">
            <a:lnSpc>
              <a:spcPct val="100000"/>
            </a:lnSpc>
            <a:spcBef>
              <a:spcPts val="0"/>
            </a:spcBef>
            <a:spcAft>
              <a:spcPts val="0"/>
            </a:spcAft>
            <a:buClrTx/>
            <a:buSzTx/>
            <a:buFontTx/>
            <a:buNone/>
            <a:tabLst/>
            <a:defRPr/>
          </a:pPr>
          <a:endParaRPr lang="fr-FR" sz="12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fr-FR" sz="1200">
              <a:solidFill>
                <a:schemeClr val="dk1"/>
              </a:solidFill>
              <a:effectLst/>
              <a:latin typeface="+mn-lt"/>
              <a:ea typeface="+mn-ea"/>
              <a:cs typeface="+mn-cs"/>
            </a:rPr>
            <a:t>La semaine 3, le stock réel est supérieur de 12,5€ au stock théorique.</a:t>
          </a:r>
        </a:p>
        <a:p>
          <a:endParaRPr lang="fr-FR" sz="1200">
            <a:solidFill>
              <a:schemeClr val="dk1"/>
            </a:solidFill>
            <a:effectLst/>
            <a:latin typeface="+mn-lt"/>
            <a:ea typeface="+mn-ea"/>
            <a:cs typeface="+mn-cs"/>
          </a:endParaRPr>
        </a:p>
        <a:p>
          <a:endParaRPr lang="fr-FR" sz="1200" b="1">
            <a:solidFill>
              <a:schemeClr val="dk1"/>
            </a:solidFill>
            <a:effectLst/>
            <a:latin typeface="+mn-lt"/>
            <a:ea typeface="+mn-ea"/>
            <a:cs typeface="+mn-cs"/>
          </a:endParaRPr>
        </a:p>
        <a:p>
          <a:endParaRPr lang="fr-FR" sz="1200"/>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4"/>
  <sheetViews>
    <sheetView tabSelected="1" workbookViewId="0"/>
  </sheetViews>
  <sheetFormatPr baseColWidth="10" defaultRowHeight="15.75" x14ac:dyDescent="0.25"/>
  <cols>
    <col min="1" max="1" width="22.28515625" style="11" customWidth="1"/>
    <col min="2" max="10" width="13.7109375" style="11" customWidth="1"/>
    <col min="11" max="11" width="11.5703125" style="11" bestFit="1" customWidth="1"/>
    <col min="12" max="16384" width="11.42578125" style="11"/>
  </cols>
  <sheetData>
    <row r="1" spans="1:10" x14ac:dyDescent="0.25">
      <c r="A1" s="9" t="s">
        <v>62</v>
      </c>
      <c r="B1" s="10"/>
      <c r="C1" s="10"/>
      <c r="D1" s="10"/>
    </row>
    <row r="2" spans="1:10" x14ac:dyDescent="0.25">
      <c r="A2" s="77" t="s">
        <v>2</v>
      </c>
      <c r="B2" s="82"/>
    </row>
    <row r="3" spans="1:10" x14ac:dyDescent="0.25">
      <c r="A3" s="12" t="s">
        <v>3</v>
      </c>
      <c r="B3" s="13"/>
    </row>
    <row r="4" spans="1:10" ht="18" x14ac:dyDescent="0.25">
      <c r="A4" s="14" t="s">
        <v>23</v>
      </c>
      <c r="B4" s="15"/>
      <c r="C4" s="15"/>
      <c r="D4" s="15"/>
      <c r="E4" s="15"/>
    </row>
    <row r="5" spans="1:10" ht="31.5" x14ac:dyDescent="0.25">
      <c r="A5" s="16"/>
      <c r="B5" s="16" t="s">
        <v>4</v>
      </c>
      <c r="C5" s="17" t="s">
        <v>5</v>
      </c>
    </row>
    <row r="6" spans="1:10" ht="32.25" customHeight="1" x14ac:dyDescent="0.25">
      <c r="A6" s="6" t="s">
        <v>6</v>
      </c>
      <c r="B6" s="16">
        <v>10</v>
      </c>
      <c r="C6" s="16">
        <v>2.5</v>
      </c>
    </row>
    <row r="7" spans="1:10" ht="17.25" customHeight="1" x14ac:dyDescent="0.25">
      <c r="A7" s="18"/>
      <c r="B7" s="19"/>
      <c r="C7" s="19"/>
    </row>
    <row r="8" spans="1:10" ht="22.5" customHeight="1" x14ac:dyDescent="0.25">
      <c r="A8" s="11" t="s">
        <v>7</v>
      </c>
    </row>
    <row r="9" spans="1:10" ht="22.5" customHeight="1" x14ac:dyDescent="0.25">
      <c r="A9" s="20" t="s">
        <v>8</v>
      </c>
      <c r="B9" s="21" t="s">
        <v>9</v>
      </c>
      <c r="C9" s="21" t="s">
        <v>10</v>
      </c>
      <c r="D9" s="21" t="s">
        <v>11</v>
      </c>
      <c r="E9" s="21" t="s">
        <v>12</v>
      </c>
      <c r="F9" s="21" t="s">
        <v>13</v>
      </c>
      <c r="G9" s="21" t="s">
        <v>14</v>
      </c>
    </row>
    <row r="10" spans="1:10" ht="22.5" customHeight="1" x14ac:dyDescent="0.25">
      <c r="A10" s="20" t="s">
        <v>15</v>
      </c>
      <c r="B10" s="21">
        <v>40</v>
      </c>
      <c r="C10" s="21"/>
      <c r="D10" s="21">
        <v>70</v>
      </c>
      <c r="E10" s="21"/>
      <c r="F10" s="21">
        <v>120</v>
      </c>
      <c r="G10" s="21"/>
    </row>
    <row r="11" spans="1:10" ht="22.5" customHeight="1" x14ac:dyDescent="0.25">
      <c r="A11" s="20" t="s">
        <v>16</v>
      </c>
      <c r="B11" s="21">
        <v>2.4</v>
      </c>
      <c r="C11" s="21"/>
      <c r="D11" s="21">
        <v>2.9</v>
      </c>
      <c r="E11" s="21"/>
      <c r="F11" s="21">
        <v>2.66</v>
      </c>
      <c r="G11" s="21"/>
    </row>
    <row r="12" spans="1:10" ht="22.5" customHeight="1" x14ac:dyDescent="0.25">
      <c r="A12" s="20" t="s">
        <v>17</v>
      </c>
      <c r="B12" s="21">
        <v>16</v>
      </c>
      <c r="C12" s="21">
        <v>20</v>
      </c>
      <c r="D12" s="21">
        <v>25</v>
      </c>
      <c r="E12" s="21">
        <v>30</v>
      </c>
      <c r="F12" s="21">
        <v>44</v>
      </c>
      <c r="G12" s="21">
        <v>88</v>
      </c>
    </row>
    <row r="14" spans="1:10" x14ac:dyDescent="0.25">
      <c r="A14" s="3" t="s">
        <v>18</v>
      </c>
      <c r="B14" s="22"/>
      <c r="C14" s="3"/>
      <c r="D14" s="23"/>
      <c r="E14" s="3"/>
      <c r="F14" s="24"/>
      <c r="G14" s="24"/>
      <c r="H14" s="24"/>
      <c r="I14" s="24"/>
      <c r="J14" s="24"/>
    </row>
    <row r="15" spans="1:10" x14ac:dyDescent="0.25">
      <c r="A15" s="16" t="s">
        <v>8</v>
      </c>
      <c r="B15" s="103" t="s">
        <v>19</v>
      </c>
      <c r="C15" s="104"/>
      <c r="D15" s="105"/>
      <c r="E15" s="103" t="s">
        <v>20</v>
      </c>
      <c r="F15" s="104"/>
      <c r="G15" s="105"/>
      <c r="H15" s="103" t="s">
        <v>21</v>
      </c>
      <c r="I15" s="104"/>
      <c r="J15" s="105"/>
    </row>
    <row r="16" spans="1:10" x14ac:dyDescent="0.25">
      <c r="A16" s="25"/>
      <c r="B16" s="26" t="s">
        <v>4</v>
      </c>
      <c r="C16" s="25" t="s">
        <v>24</v>
      </c>
      <c r="D16" s="25" t="s">
        <v>25</v>
      </c>
      <c r="E16" s="26" t="s">
        <v>4</v>
      </c>
      <c r="F16" s="25" t="s">
        <v>24</v>
      </c>
      <c r="G16" s="25" t="s">
        <v>25</v>
      </c>
      <c r="H16" s="26" t="s">
        <v>4</v>
      </c>
      <c r="I16" s="25" t="s">
        <v>24</v>
      </c>
      <c r="J16" s="25" t="s">
        <v>25</v>
      </c>
    </row>
    <row r="17" spans="1:10" ht="23.25" customHeight="1" x14ac:dyDescent="0.25">
      <c r="A17" s="27" t="s">
        <v>26</v>
      </c>
      <c r="B17" s="28"/>
      <c r="C17" s="29"/>
      <c r="D17" s="29"/>
      <c r="E17" s="28"/>
      <c r="F17" s="29"/>
      <c r="G17" s="29"/>
      <c r="H17" s="48">
        <f>B6</f>
        <v>10</v>
      </c>
      <c r="I17" s="49">
        <f>C6</f>
        <v>2.5</v>
      </c>
      <c r="J17" s="49">
        <f>I17*H17</f>
        <v>25</v>
      </c>
    </row>
    <row r="18" spans="1:10" ht="23.25" customHeight="1" x14ac:dyDescent="0.25">
      <c r="A18" s="30" t="s">
        <v>27</v>
      </c>
      <c r="B18" s="48">
        <f>B10</f>
        <v>40</v>
      </c>
      <c r="C18" s="49">
        <f>B11</f>
        <v>2.4</v>
      </c>
      <c r="D18" s="49">
        <f>C18*B18</f>
        <v>96</v>
      </c>
      <c r="E18" s="48">
        <f>B12</f>
        <v>16</v>
      </c>
      <c r="F18" s="49">
        <f>ROUND((J17+D18)/(H17+B18),2)</f>
        <v>2.42</v>
      </c>
      <c r="G18" s="49">
        <f t="shared" ref="G18:G23" si="0">E18*F18</f>
        <v>38.72</v>
      </c>
      <c r="H18" s="48">
        <f t="shared" ref="H18:H23" si="1">H17+B18-E18</f>
        <v>34</v>
      </c>
      <c r="I18" s="49">
        <f>ROUND((J17+D18)/(H17+B18),2)</f>
        <v>2.42</v>
      </c>
      <c r="J18" s="49">
        <f t="shared" ref="J18:J23" si="2">J17+D18-G18</f>
        <v>82.28</v>
      </c>
    </row>
    <row r="19" spans="1:10" ht="23.25" customHeight="1" x14ac:dyDescent="0.25">
      <c r="A19" s="30" t="s">
        <v>28</v>
      </c>
      <c r="B19" s="48"/>
      <c r="C19" s="49"/>
      <c r="D19" s="49"/>
      <c r="E19" s="48">
        <f>C12</f>
        <v>20</v>
      </c>
      <c r="F19" s="49">
        <f t="shared" ref="F19:F23" si="3">ROUND((J18+D19)/(H18+B19),2)</f>
        <v>2.42</v>
      </c>
      <c r="G19" s="49">
        <f t="shared" si="0"/>
        <v>48.4</v>
      </c>
      <c r="H19" s="48">
        <f t="shared" si="1"/>
        <v>14</v>
      </c>
      <c r="I19" s="49">
        <f t="shared" ref="I19:I23" si="4">ROUND((J18+D19)/(H18+B19),2)</f>
        <v>2.42</v>
      </c>
      <c r="J19" s="49">
        <f t="shared" si="2"/>
        <v>33.880000000000003</v>
      </c>
    </row>
    <row r="20" spans="1:10" ht="23.25" customHeight="1" x14ac:dyDescent="0.25">
      <c r="A20" s="30" t="s">
        <v>29</v>
      </c>
      <c r="B20" s="48">
        <f>D10</f>
        <v>70</v>
      </c>
      <c r="C20" s="49">
        <f>D11</f>
        <v>2.9</v>
      </c>
      <c r="D20" s="49">
        <f>C20*B20</f>
        <v>203</v>
      </c>
      <c r="E20" s="48">
        <f>D12</f>
        <v>25</v>
      </c>
      <c r="F20" s="49">
        <f t="shared" si="3"/>
        <v>2.82</v>
      </c>
      <c r="G20" s="49">
        <f t="shared" si="0"/>
        <v>70.5</v>
      </c>
      <c r="H20" s="48">
        <f t="shared" si="1"/>
        <v>59</v>
      </c>
      <c r="I20" s="49">
        <f t="shared" si="4"/>
        <v>2.82</v>
      </c>
      <c r="J20" s="49">
        <f t="shared" si="2"/>
        <v>166.38</v>
      </c>
    </row>
    <row r="21" spans="1:10" ht="23.25" customHeight="1" x14ac:dyDescent="0.25">
      <c r="A21" s="30" t="s">
        <v>30</v>
      </c>
      <c r="B21" s="48"/>
      <c r="C21" s="49"/>
      <c r="D21" s="49"/>
      <c r="E21" s="48">
        <f>E12</f>
        <v>30</v>
      </c>
      <c r="F21" s="49">
        <f t="shared" si="3"/>
        <v>2.82</v>
      </c>
      <c r="G21" s="49">
        <f t="shared" si="0"/>
        <v>84.6</v>
      </c>
      <c r="H21" s="48">
        <f t="shared" si="1"/>
        <v>29</v>
      </c>
      <c r="I21" s="49">
        <f t="shared" si="4"/>
        <v>2.82</v>
      </c>
      <c r="J21" s="49">
        <f t="shared" si="2"/>
        <v>81.78</v>
      </c>
    </row>
    <row r="22" spans="1:10" ht="23.25" customHeight="1" x14ac:dyDescent="0.25">
      <c r="A22" s="30" t="s">
        <v>31</v>
      </c>
      <c r="B22" s="48">
        <f>F10</f>
        <v>120</v>
      </c>
      <c r="C22" s="49">
        <f>F11</f>
        <v>2.66</v>
      </c>
      <c r="D22" s="49">
        <f>C22*B22</f>
        <v>319.20000000000005</v>
      </c>
      <c r="E22" s="48">
        <f>F12</f>
        <v>44</v>
      </c>
      <c r="F22" s="49">
        <f t="shared" si="3"/>
        <v>2.69</v>
      </c>
      <c r="G22" s="49">
        <f t="shared" si="0"/>
        <v>118.36</v>
      </c>
      <c r="H22" s="48">
        <f t="shared" si="1"/>
        <v>105</v>
      </c>
      <c r="I22" s="49">
        <f t="shared" si="4"/>
        <v>2.69</v>
      </c>
      <c r="J22" s="49">
        <f t="shared" si="2"/>
        <v>282.62</v>
      </c>
    </row>
    <row r="23" spans="1:10" ht="23.25" customHeight="1" x14ac:dyDescent="0.25">
      <c r="A23" s="30" t="s">
        <v>32</v>
      </c>
      <c r="B23" s="48"/>
      <c r="C23" s="50"/>
      <c r="D23" s="49"/>
      <c r="E23" s="48">
        <f>G12</f>
        <v>88</v>
      </c>
      <c r="F23" s="49">
        <f t="shared" si="3"/>
        <v>2.69</v>
      </c>
      <c r="G23" s="49">
        <f t="shared" si="0"/>
        <v>236.72</v>
      </c>
      <c r="H23" s="48">
        <f t="shared" si="1"/>
        <v>17</v>
      </c>
      <c r="I23" s="49">
        <f t="shared" si="4"/>
        <v>2.69</v>
      </c>
      <c r="J23" s="51">
        <f t="shared" si="2"/>
        <v>45.900000000000006</v>
      </c>
    </row>
    <row r="24" spans="1:10" ht="23.25" customHeight="1" x14ac:dyDescent="0.25">
      <c r="A24" s="31" t="s">
        <v>22</v>
      </c>
      <c r="B24" s="52">
        <f>SUM(B18:B22)</f>
        <v>230</v>
      </c>
      <c r="C24" s="32"/>
      <c r="D24" s="53">
        <f>SUM(D18:D23)</f>
        <v>618.20000000000005</v>
      </c>
      <c r="E24" s="52">
        <f>SUM(E18:E23)</f>
        <v>223</v>
      </c>
      <c r="F24" s="33"/>
      <c r="G24" s="34"/>
      <c r="H24" s="35"/>
      <c r="I24" s="36"/>
      <c r="J24" s="37"/>
    </row>
  </sheetData>
  <mergeCells count="3">
    <mergeCell ref="B15:D15"/>
    <mergeCell ref="E15:G15"/>
    <mergeCell ref="H15:J15"/>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1"/>
  <sheetViews>
    <sheetView topLeftCell="A7" workbookViewId="0"/>
  </sheetViews>
  <sheetFormatPr baseColWidth="10" defaultRowHeight="15.75" x14ac:dyDescent="0.25"/>
  <cols>
    <col min="1" max="1" width="23.7109375" style="11" customWidth="1"/>
    <col min="2" max="2" width="9.85546875" style="11" customWidth="1"/>
    <col min="3" max="3" width="12" style="11" bestFit="1" customWidth="1"/>
    <col min="4" max="4" width="11.140625" style="11" customWidth="1"/>
    <col min="5" max="5" width="11.42578125" style="11" customWidth="1"/>
    <col min="6" max="6" width="12.28515625" style="11" customWidth="1"/>
    <col min="7" max="7" width="10.85546875" style="11" bestFit="1" customWidth="1"/>
    <col min="8" max="8" width="10.85546875" style="11" customWidth="1"/>
    <col min="9" max="16384" width="11.42578125" style="11"/>
  </cols>
  <sheetData>
    <row r="1" spans="1:13" x14ac:dyDescent="0.25">
      <c r="A1" s="38" t="s">
        <v>62</v>
      </c>
      <c r="B1" s="38"/>
      <c r="C1" s="38"/>
      <c r="D1" s="38"/>
      <c r="E1" s="10"/>
    </row>
    <row r="2" spans="1:13" x14ac:dyDescent="0.25">
      <c r="A2" s="77" t="s">
        <v>2</v>
      </c>
      <c r="B2" s="77"/>
    </row>
    <row r="3" spans="1:13" x14ac:dyDescent="0.25">
      <c r="A3" s="39" t="s">
        <v>3</v>
      </c>
      <c r="B3" s="39"/>
    </row>
    <row r="4" spans="1:13" ht="18" x14ac:dyDescent="0.25">
      <c r="A4" s="14" t="s">
        <v>23</v>
      </c>
      <c r="B4" s="15"/>
      <c r="C4" s="15"/>
      <c r="D4" s="15"/>
      <c r="E4" s="15"/>
      <c r="F4" s="15"/>
    </row>
    <row r="5" spans="1:13" ht="47.25" x14ac:dyDescent="0.25">
      <c r="A5" s="16"/>
      <c r="B5" s="16" t="s">
        <v>4</v>
      </c>
      <c r="C5" s="17" t="s">
        <v>5</v>
      </c>
    </row>
    <row r="6" spans="1:13" ht="32.25" customHeight="1" x14ac:dyDescent="0.25">
      <c r="A6" s="6" t="s">
        <v>6</v>
      </c>
      <c r="B6" s="16">
        <v>10</v>
      </c>
      <c r="C6" s="16">
        <v>2.5</v>
      </c>
    </row>
    <row r="7" spans="1:13" ht="17.25" customHeight="1" x14ac:dyDescent="0.25">
      <c r="A7" s="18"/>
      <c r="B7" s="19"/>
      <c r="C7" s="19"/>
    </row>
    <row r="8" spans="1:13" x14ac:dyDescent="0.25">
      <c r="A8" s="11" t="s">
        <v>7</v>
      </c>
    </row>
    <row r="9" spans="1:13" x14ac:dyDescent="0.25">
      <c r="A9" s="40" t="s">
        <v>8</v>
      </c>
      <c r="B9" s="7" t="s">
        <v>9</v>
      </c>
      <c r="C9" s="7" t="s">
        <v>10</v>
      </c>
      <c r="D9" s="7" t="s">
        <v>11</v>
      </c>
      <c r="E9" s="7" t="s">
        <v>12</v>
      </c>
      <c r="F9" s="7" t="s">
        <v>13</v>
      </c>
      <c r="G9" s="7" t="s">
        <v>14</v>
      </c>
    </row>
    <row r="10" spans="1:13" ht="21.75" customHeight="1" x14ac:dyDescent="0.25">
      <c r="A10" s="40" t="s">
        <v>15</v>
      </c>
      <c r="B10" s="7">
        <v>40</v>
      </c>
      <c r="C10" s="7"/>
      <c r="D10" s="7">
        <v>70</v>
      </c>
      <c r="E10" s="7"/>
      <c r="F10" s="7">
        <v>120</v>
      </c>
      <c r="G10" s="7"/>
    </row>
    <row r="11" spans="1:13" ht="21.75" customHeight="1" x14ac:dyDescent="0.25">
      <c r="A11" s="40" t="s">
        <v>16</v>
      </c>
      <c r="B11" s="7">
        <v>2.4</v>
      </c>
      <c r="C11" s="7"/>
      <c r="D11" s="7">
        <v>2.9</v>
      </c>
      <c r="E11" s="7"/>
      <c r="F11" s="7">
        <v>2.66</v>
      </c>
      <c r="G11" s="7"/>
    </row>
    <row r="12" spans="1:13" ht="21.75" customHeight="1" x14ac:dyDescent="0.25">
      <c r="A12" s="40" t="s">
        <v>17</v>
      </c>
      <c r="B12" s="7">
        <v>16</v>
      </c>
      <c r="C12" s="7">
        <v>20</v>
      </c>
      <c r="D12" s="7">
        <v>25</v>
      </c>
      <c r="E12" s="7">
        <v>30</v>
      </c>
      <c r="F12" s="7">
        <v>44</v>
      </c>
      <c r="G12" s="7">
        <v>88</v>
      </c>
    </row>
    <row r="14" spans="1:13" x14ac:dyDescent="0.25">
      <c r="A14" s="3" t="s">
        <v>34</v>
      </c>
      <c r="B14" s="22"/>
      <c r="C14" s="3"/>
      <c r="D14" s="23"/>
      <c r="E14" s="3"/>
      <c r="F14" s="24"/>
      <c r="G14" s="24"/>
      <c r="H14" s="24"/>
      <c r="I14" s="24"/>
      <c r="J14" s="24"/>
      <c r="K14" s="24"/>
      <c r="L14" s="24"/>
      <c r="M14" s="24"/>
    </row>
    <row r="16" spans="1:13" ht="31.5" x14ac:dyDescent="0.25">
      <c r="A16" s="42"/>
      <c r="B16" s="54" t="s">
        <v>35</v>
      </c>
      <c r="C16" s="55" t="s">
        <v>24</v>
      </c>
      <c r="D16" s="55" t="s">
        <v>25</v>
      </c>
      <c r="E16" s="56"/>
      <c r="F16" s="54" t="s">
        <v>35</v>
      </c>
      <c r="G16" s="55" t="s">
        <v>24</v>
      </c>
      <c r="H16" s="55" t="s">
        <v>25</v>
      </c>
      <c r="I16" s="45"/>
      <c r="J16" s="45"/>
      <c r="K16" s="45"/>
      <c r="L16" s="45"/>
      <c r="M16" s="45"/>
    </row>
    <row r="17" spans="1:8" ht="25.5" customHeight="1" x14ac:dyDescent="0.25">
      <c r="A17" s="57" t="s">
        <v>26</v>
      </c>
      <c r="B17" s="58">
        <f>B6</f>
        <v>10</v>
      </c>
      <c r="C17" s="59">
        <f>C6</f>
        <v>2.5</v>
      </c>
      <c r="D17" s="59">
        <f>B17*C17</f>
        <v>25</v>
      </c>
      <c r="E17" s="60" t="s">
        <v>20</v>
      </c>
      <c r="F17" s="58">
        <f>SUM(B12:G12)</f>
        <v>223</v>
      </c>
      <c r="G17" s="63">
        <f>C19</f>
        <v>2.68</v>
      </c>
      <c r="H17" s="61">
        <f>F17*G17</f>
        <v>597.64</v>
      </c>
    </row>
    <row r="18" spans="1:8" ht="25.5" customHeight="1" x14ac:dyDescent="0.25">
      <c r="A18" s="57" t="s">
        <v>19</v>
      </c>
      <c r="B18" s="58">
        <f>B10+D10+F10</f>
        <v>230</v>
      </c>
      <c r="C18" s="62"/>
      <c r="D18" s="59">
        <f>(B10*B11)+(D10*D11)+(F10*F11)</f>
        <v>618.20000000000005</v>
      </c>
      <c r="E18" s="60" t="s">
        <v>0</v>
      </c>
      <c r="F18" s="58">
        <f>B17+B18-F17</f>
        <v>17</v>
      </c>
      <c r="G18" s="59">
        <f>C19</f>
        <v>2.68</v>
      </c>
      <c r="H18" s="64">
        <f>D17+D18-H17</f>
        <v>45.560000000000059</v>
      </c>
    </row>
    <row r="19" spans="1:8" ht="25.5" customHeight="1" x14ac:dyDescent="0.25">
      <c r="A19" s="57" t="s">
        <v>33</v>
      </c>
      <c r="B19" s="58">
        <f>SUM(B17:B18)</f>
        <v>240</v>
      </c>
      <c r="C19" s="63">
        <f>ROUND(D19/B19,2)</f>
        <v>2.68</v>
      </c>
      <c r="D19" s="59">
        <f>SUM(D17:D18)</f>
        <v>643.20000000000005</v>
      </c>
      <c r="E19" s="60" t="s">
        <v>33</v>
      </c>
      <c r="F19" s="58">
        <f>SUM(F17:F18)</f>
        <v>240</v>
      </c>
      <c r="G19" s="59">
        <f>G18</f>
        <v>2.68</v>
      </c>
      <c r="H19" s="61">
        <f>SUM(H17:H18)</f>
        <v>643.20000000000005</v>
      </c>
    </row>
    <row r="21" spans="1:8" x14ac:dyDescent="0.25">
      <c r="C21" s="46"/>
      <c r="D21" s="47"/>
      <c r="G21" s="47"/>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workbookViewId="0"/>
  </sheetViews>
  <sheetFormatPr baseColWidth="10" defaultRowHeight="15.75" x14ac:dyDescent="0.25"/>
  <cols>
    <col min="1" max="1" width="24" style="11" customWidth="1"/>
    <col min="2" max="10" width="12.42578125" style="11" customWidth="1"/>
    <col min="11" max="16384" width="11.42578125" style="11"/>
  </cols>
  <sheetData>
    <row r="1" spans="1:5" x14ac:dyDescent="0.25">
      <c r="A1" s="38" t="s">
        <v>62</v>
      </c>
      <c r="B1" s="38"/>
      <c r="C1" s="38"/>
      <c r="D1" s="38"/>
    </row>
    <row r="2" spans="1:5" x14ac:dyDescent="0.25">
      <c r="A2" s="77" t="s">
        <v>2</v>
      </c>
      <c r="B2" s="77"/>
    </row>
    <row r="3" spans="1:5" x14ac:dyDescent="0.25">
      <c r="A3" s="39" t="s">
        <v>3</v>
      </c>
      <c r="B3" s="39"/>
    </row>
    <row r="4" spans="1:5" ht="18" x14ac:dyDescent="0.25">
      <c r="A4" s="14" t="s">
        <v>23</v>
      </c>
      <c r="B4" s="15"/>
      <c r="C4" s="15"/>
      <c r="D4" s="15"/>
      <c r="E4" s="15"/>
    </row>
    <row r="5" spans="1:5" ht="31.5" x14ac:dyDescent="0.25">
      <c r="A5" s="16"/>
      <c r="B5" s="16" t="s">
        <v>4</v>
      </c>
      <c r="C5" s="17" t="s">
        <v>5</v>
      </c>
    </row>
    <row r="6" spans="1:5" ht="32.25" customHeight="1" x14ac:dyDescent="0.25">
      <c r="A6" s="6" t="s">
        <v>6</v>
      </c>
      <c r="B6" s="16">
        <v>10</v>
      </c>
      <c r="C6" s="16">
        <v>2.5</v>
      </c>
    </row>
    <row r="7" spans="1:5" ht="17.25" customHeight="1" x14ac:dyDescent="0.25">
      <c r="A7" s="18"/>
      <c r="B7" s="19"/>
      <c r="C7" s="19"/>
    </row>
    <row r="8" spans="1:5" x14ac:dyDescent="0.25">
      <c r="A8" s="11" t="s">
        <v>36</v>
      </c>
    </row>
    <row r="9" spans="1:5" s="65" customFormat="1" ht="40.5" customHeight="1" x14ac:dyDescent="0.25">
      <c r="A9" s="7" t="s">
        <v>8</v>
      </c>
      <c r="B9" s="6" t="s">
        <v>37</v>
      </c>
      <c r="C9" s="6" t="s">
        <v>16</v>
      </c>
      <c r="D9" s="6" t="s">
        <v>38</v>
      </c>
    </row>
    <row r="10" spans="1:5" ht="18" customHeight="1" x14ac:dyDescent="0.25">
      <c r="A10" s="7" t="s">
        <v>9</v>
      </c>
      <c r="B10" s="7">
        <v>40</v>
      </c>
      <c r="C10" s="7">
        <v>2.4</v>
      </c>
      <c r="D10" s="7">
        <v>16</v>
      </c>
    </row>
    <row r="11" spans="1:5" ht="18" customHeight="1" x14ac:dyDescent="0.25">
      <c r="A11" s="7" t="s">
        <v>10</v>
      </c>
      <c r="B11" s="7"/>
      <c r="C11" s="7"/>
      <c r="D11" s="7">
        <v>20</v>
      </c>
    </row>
    <row r="12" spans="1:5" ht="18" customHeight="1" x14ac:dyDescent="0.25">
      <c r="A12" s="7" t="s">
        <v>11</v>
      </c>
      <c r="B12" s="7">
        <v>70</v>
      </c>
      <c r="C12" s="7">
        <v>2.9</v>
      </c>
      <c r="D12" s="7">
        <v>25</v>
      </c>
    </row>
    <row r="13" spans="1:5" ht="18" customHeight="1" x14ac:dyDescent="0.25">
      <c r="A13" s="7" t="s">
        <v>12</v>
      </c>
      <c r="B13" s="7"/>
      <c r="C13" s="7"/>
      <c r="D13" s="7">
        <v>30</v>
      </c>
    </row>
    <row r="14" spans="1:5" ht="18" customHeight="1" x14ac:dyDescent="0.25">
      <c r="A14" s="7" t="s">
        <v>13</v>
      </c>
      <c r="B14" s="7">
        <v>120</v>
      </c>
      <c r="C14" s="7">
        <v>2.66</v>
      </c>
      <c r="D14" s="7">
        <v>44</v>
      </c>
    </row>
    <row r="15" spans="1:5" ht="18" customHeight="1" x14ac:dyDescent="0.25">
      <c r="A15" s="7" t="s">
        <v>14</v>
      </c>
      <c r="B15" s="7"/>
      <c r="C15" s="7"/>
      <c r="D15" s="7">
        <v>88</v>
      </c>
    </row>
    <row r="17" spans="1:11" x14ac:dyDescent="0.25">
      <c r="A17" s="3" t="s">
        <v>39</v>
      </c>
      <c r="B17" s="22"/>
      <c r="C17" s="3"/>
      <c r="D17" s="23"/>
      <c r="E17" s="3"/>
      <c r="F17" s="24"/>
      <c r="G17" s="24"/>
      <c r="H17" s="24"/>
      <c r="I17" s="24"/>
      <c r="J17" s="24"/>
      <c r="K17" s="24"/>
    </row>
    <row r="18" spans="1:11" s="66" customFormat="1" x14ac:dyDescent="0.25">
      <c r="A18" s="11"/>
      <c r="B18" s="11"/>
      <c r="C18" s="11"/>
      <c r="D18" s="11"/>
      <c r="E18" s="11"/>
      <c r="F18" s="11"/>
      <c r="G18" s="11"/>
      <c r="H18" s="11"/>
      <c r="I18" s="11"/>
      <c r="J18" s="11"/>
    </row>
    <row r="19" spans="1:11" x14ac:dyDescent="0.25">
      <c r="A19" s="112"/>
      <c r="B19" s="103" t="s">
        <v>19</v>
      </c>
      <c r="C19" s="104"/>
      <c r="D19" s="105"/>
      <c r="E19" s="103" t="s">
        <v>20</v>
      </c>
      <c r="F19" s="104"/>
      <c r="G19" s="105"/>
      <c r="H19" s="103" t="s">
        <v>21</v>
      </c>
      <c r="I19" s="104"/>
      <c r="J19" s="105"/>
    </row>
    <row r="20" spans="1:11" ht="31.5" x14ac:dyDescent="0.25">
      <c r="A20" s="113"/>
      <c r="B20" s="26" t="s">
        <v>4</v>
      </c>
      <c r="C20" s="25" t="s">
        <v>24</v>
      </c>
      <c r="D20" s="25" t="s">
        <v>25</v>
      </c>
      <c r="E20" s="26" t="s">
        <v>4</v>
      </c>
      <c r="F20" s="25" t="s">
        <v>24</v>
      </c>
      <c r="G20" s="25" t="s">
        <v>25</v>
      </c>
      <c r="H20" s="26" t="s">
        <v>4</v>
      </c>
      <c r="I20" s="25" t="s">
        <v>24</v>
      </c>
      <c r="J20" s="25" t="s">
        <v>25</v>
      </c>
    </row>
    <row r="21" spans="1:11" ht="21" customHeight="1" x14ac:dyDescent="0.25">
      <c r="A21" s="67" t="s">
        <v>26</v>
      </c>
      <c r="B21" s="28"/>
      <c r="C21" s="29"/>
      <c r="D21" s="29"/>
      <c r="E21" s="28"/>
      <c r="F21" s="29"/>
      <c r="G21" s="29"/>
      <c r="H21" s="48">
        <f>B6</f>
        <v>10</v>
      </c>
      <c r="I21" s="49">
        <f>C6</f>
        <v>2.5</v>
      </c>
      <c r="J21" s="49">
        <f>I21*H21</f>
        <v>25</v>
      </c>
    </row>
    <row r="22" spans="1:11" ht="21" customHeight="1" x14ac:dyDescent="0.25">
      <c r="A22" s="110" t="s">
        <v>27</v>
      </c>
      <c r="B22" s="108">
        <f>B10</f>
        <v>40</v>
      </c>
      <c r="C22" s="106">
        <f>C10</f>
        <v>2.4</v>
      </c>
      <c r="D22" s="106">
        <f>C22*B22</f>
        <v>96</v>
      </c>
      <c r="E22" s="48">
        <f>H21</f>
        <v>10</v>
      </c>
      <c r="F22" s="49">
        <f>I21</f>
        <v>2.5</v>
      </c>
      <c r="G22" s="49">
        <f t="shared" ref="G22" si="0">E22*F22</f>
        <v>25</v>
      </c>
      <c r="H22" s="108">
        <f>H21+B22-E22-E23</f>
        <v>34</v>
      </c>
      <c r="I22" s="106">
        <f>C22</f>
        <v>2.4</v>
      </c>
      <c r="J22" s="106">
        <f>J21+D22-G22-G23</f>
        <v>81.599999999999994</v>
      </c>
    </row>
    <row r="23" spans="1:11" ht="21" customHeight="1" x14ac:dyDescent="0.25">
      <c r="A23" s="111"/>
      <c r="B23" s="109"/>
      <c r="C23" s="107"/>
      <c r="D23" s="107"/>
      <c r="E23" s="48">
        <f>D10-E22</f>
        <v>6</v>
      </c>
      <c r="F23" s="49">
        <f>C10</f>
        <v>2.4</v>
      </c>
      <c r="G23" s="49">
        <f>E23*F23</f>
        <v>14.399999999999999</v>
      </c>
      <c r="H23" s="109"/>
      <c r="I23" s="107"/>
      <c r="J23" s="107"/>
    </row>
    <row r="24" spans="1:11" ht="21" customHeight="1" x14ac:dyDescent="0.25">
      <c r="A24" s="68" t="s">
        <v>28</v>
      </c>
      <c r="B24" s="28"/>
      <c r="C24" s="29"/>
      <c r="D24" s="29"/>
      <c r="E24" s="48">
        <f>D11</f>
        <v>20</v>
      </c>
      <c r="F24" s="49">
        <f>C22</f>
        <v>2.4</v>
      </c>
      <c r="G24" s="49">
        <f t="shared" ref="G24:G30" si="1">E24*F24</f>
        <v>48</v>
      </c>
      <c r="H24" s="48">
        <f>H22+B24-E24</f>
        <v>14</v>
      </c>
      <c r="I24" s="49">
        <f>C22</f>
        <v>2.4</v>
      </c>
      <c r="J24" s="49">
        <f>J22-G24</f>
        <v>33.599999999999994</v>
      </c>
    </row>
    <row r="25" spans="1:11" ht="21" customHeight="1" x14ac:dyDescent="0.25">
      <c r="A25" s="110" t="s">
        <v>29</v>
      </c>
      <c r="B25" s="108">
        <f>B12</f>
        <v>70</v>
      </c>
      <c r="C25" s="106">
        <f>C12</f>
        <v>2.9</v>
      </c>
      <c r="D25" s="106">
        <f>C25*B25</f>
        <v>203</v>
      </c>
      <c r="E25" s="48">
        <f>H24</f>
        <v>14</v>
      </c>
      <c r="F25" s="49">
        <f>I24</f>
        <v>2.4</v>
      </c>
      <c r="G25" s="49">
        <f t="shared" si="1"/>
        <v>33.6</v>
      </c>
      <c r="H25" s="108">
        <f>H24+B25-E25-E26</f>
        <v>59</v>
      </c>
      <c r="I25" s="106">
        <f>C25</f>
        <v>2.9</v>
      </c>
      <c r="J25" s="106">
        <f>J24+D25-G25-G26</f>
        <v>171.1</v>
      </c>
    </row>
    <row r="26" spans="1:11" ht="21" customHeight="1" x14ac:dyDescent="0.25">
      <c r="A26" s="111"/>
      <c r="B26" s="109"/>
      <c r="C26" s="107"/>
      <c r="D26" s="107"/>
      <c r="E26" s="48">
        <f>D12-E25</f>
        <v>11</v>
      </c>
      <c r="F26" s="49">
        <f>C12</f>
        <v>2.9</v>
      </c>
      <c r="G26" s="49">
        <f t="shared" si="1"/>
        <v>31.9</v>
      </c>
      <c r="H26" s="109"/>
      <c r="I26" s="107"/>
      <c r="J26" s="107"/>
    </row>
    <row r="27" spans="1:11" ht="21" customHeight="1" x14ac:dyDescent="0.25">
      <c r="A27" s="68" t="s">
        <v>30</v>
      </c>
      <c r="B27" s="28"/>
      <c r="C27" s="29"/>
      <c r="D27" s="29"/>
      <c r="E27" s="48">
        <f>D13</f>
        <v>30</v>
      </c>
      <c r="F27" s="49">
        <f>C25</f>
        <v>2.9</v>
      </c>
      <c r="G27" s="49">
        <f t="shared" si="1"/>
        <v>87</v>
      </c>
      <c r="H27" s="48">
        <f>H25-E27</f>
        <v>29</v>
      </c>
      <c r="I27" s="49">
        <f>C25</f>
        <v>2.9</v>
      </c>
      <c r="J27" s="49">
        <f>J25-G27</f>
        <v>84.1</v>
      </c>
    </row>
    <row r="28" spans="1:11" ht="21" customHeight="1" x14ac:dyDescent="0.25">
      <c r="A28" s="110" t="s">
        <v>31</v>
      </c>
      <c r="B28" s="108">
        <f>B14</f>
        <v>120</v>
      </c>
      <c r="C28" s="106">
        <f>C14</f>
        <v>2.66</v>
      </c>
      <c r="D28" s="106">
        <f>C28*B28</f>
        <v>319.20000000000005</v>
      </c>
      <c r="E28" s="48">
        <f>H27</f>
        <v>29</v>
      </c>
      <c r="F28" s="49">
        <f>I27</f>
        <v>2.9</v>
      </c>
      <c r="G28" s="49">
        <f t="shared" si="1"/>
        <v>84.1</v>
      </c>
      <c r="H28" s="108">
        <f>H27+B28-E28-E29</f>
        <v>105</v>
      </c>
      <c r="I28" s="106">
        <f>C28</f>
        <v>2.66</v>
      </c>
      <c r="J28" s="106">
        <f>J27+D28-G28-G29</f>
        <v>279.30000000000007</v>
      </c>
    </row>
    <row r="29" spans="1:11" ht="21" customHeight="1" x14ac:dyDescent="0.25">
      <c r="A29" s="111"/>
      <c r="B29" s="109"/>
      <c r="C29" s="107"/>
      <c r="D29" s="107"/>
      <c r="E29" s="48">
        <f>D14-E28</f>
        <v>15</v>
      </c>
      <c r="F29" s="49">
        <f>C28</f>
        <v>2.66</v>
      </c>
      <c r="G29" s="49">
        <f t="shared" si="1"/>
        <v>39.900000000000006</v>
      </c>
      <c r="H29" s="109"/>
      <c r="I29" s="107"/>
      <c r="J29" s="107"/>
    </row>
    <row r="30" spans="1:11" ht="21" customHeight="1" x14ac:dyDescent="0.25">
      <c r="A30" s="68" t="s">
        <v>32</v>
      </c>
      <c r="B30" s="28"/>
      <c r="C30" s="29"/>
      <c r="D30" s="29"/>
      <c r="E30" s="48">
        <f>D15</f>
        <v>88</v>
      </c>
      <c r="F30" s="49">
        <f>C28</f>
        <v>2.66</v>
      </c>
      <c r="G30" s="49">
        <f t="shared" si="1"/>
        <v>234.08</v>
      </c>
      <c r="H30" s="48">
        <f>H28-E30</f>
        <v>17</v>
      </c>
      <c r="I30" s="49">
        <f>C28</f>
        <v>2.66</v>
      </c>
      <c r="J30" s="51">
        <f>J28-G30</f>
        <v>45.220000000000056</v>
      </c>
    </row>
    <row r="31" spans="1:11" x14ac:dyDescent="0.25">
      <c r="B31" s="69"/>
      <c r="D31" s="70"/>
      <c r="E31" s="71"/>
    </row>
  </sheetData>
  <mergeCells count="25">
    <mergeCell ref="A19:A20"/>
    <mergeCell ref="B19:D19"/>
    <mergeCell ref="E19:G19"/>
    <mergeCell ref="H19:J19"/>
    <mergeCell ref="A22:A23"/>
    <mergeCell ref="H22:H23"/>
    <mergeCell ref="I22:I23"/>
    <mergeCell ref="J22:J23"/>
    <mergeCell ref="A28:A29"/>
    <mergeCell ref="B22:B23"/>
    <mergeCell ref="C22:C23"/>
    <mergeCell ref="D22:D23"/>
    <mergeCell ref="B25:B26"/>
    <mergeCell ref="C25:C26"/>
    <mergeCell ref="D25:D26"/>
    <mergeCell ref="B28:B29"/>
    <mergeCell ref="C28:C29"/>
    <mergeCell ref="D28:D29"/>
    <mergeCell ref="A25:A26"/>
    <mergeCell ref="I25:I26"/>
    <mergeCell ref="J25:J26"/>
    <mergeCell ref="H28:H29"/>
    <mergeCell ref="I28:I29"/>
    <mergeCell ref="J28:J29"/>
    <mergeCell ref="H25:H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baseColWidth="10" defaultRowHeight="15" x14ac:dyDescent="0.25"/>
  <cols>
    <col min="1" max="1" width="27.42578125" customWidth="1"/>
  </cols>
  <sheetData>
    <row r="1" spans="1:11" ht="15.75" x14ac:dyDescent="0.25">
      <c r="A1" s="38" t="s">
        <v>62</v>
      </c>
      <c r="B1" s="38"/>
      <c r="C1" s="38"/>
      <c r="D1" s="38"/>
      <c r="E1" s="11"/>
      <c r="F1" s="11"/>
      <c r="G1" s="11"/>
      <c r="H1" s="11"/>
      <c r="I1" s="11"/>
      <c r="J1" s="11"/>
      <c r="K1" s="11"/>
    </row>
    <row r="2" spans="1:11" ht="15.75" x14ac:dyDescent="0.25">
      <c r="A2" s="77" t="s">
        <v>2</v>
      </c>
      <c r="B2" s="77"/>
      <c r="C2" s="11"/>
      <c r="D2" s="11"/>
      <c r="E2" s="11"/>
      <c r="F2" s="11"/>
      <c r="G2" s="11"/>
      <c r="H2" s="11"/>
      <c r="I2" s="11"/>
      <c r="J2" s="11"/>
      <c r="K2" s="11"/>
    </row>
    <row r="3" spans="1:11" ht="15.75" x14ac:dyDescent="0.25">
      <c r="A3" s="39" t="s">
        <v>3</v>
      </c>
      <c r="B3" s="39"/>
      <c r="C3" s="11"/>
      <c r="D3" s="11"/>
      <c r="E3" s="11"/>
      <c r="F3" s="11"/>
      <c r="G3" s="11"/>
      <c r="H3" s="11"/>
      <c r="I3" s="11"/>
      <c r="J3" s="11"/>
      <c r="K3" s="11"/>
    </row>
    <row r="4" spans="1:11" s="78" customFormat="1" ht="15.75" x14ac:dyDescent="0.25">
      <c r="A4" s="77"/>
    </row>
    <row r="5" spans="1:11" s="78" customFormat="1" ht="15.75" x14ac:dyDescent="0.25">
      <c r="A5" s="3" t="s">
        <v>43</v>
      </c>
      <c r="B5" s="72"/>
      <c r="C5" s="72"/>
      <c r="D5" s="72"/>
      <c r="E5" s="72"/>
      <c r="F5" s="72"/>
      <c r="G5" s="72"/>
      <c r="H5" s="72"/>
    </row>
    <row r="7" spans="1:11" ht="30" x14ac:dyDescent="0.25">
      <c r="A7" s="73" t="s">
        <v>40</v>
      </c>
      <c r="B7" s="51">
        <v>45.9</v>
      </c>
    </row>
    <row r="8" spans="1:11" ht="15.75" x14ac:dyDescent="0.25">
      <c r="A8" s="74"/>
      <c r="B8" s="1"/>
    </row>
    <row r="9" spans="1:11" ht="30" x14ac:dyDescent="0.25">
      <c r="A9" s="73" t="s">
        <v>41</v>
      </c>
      <c r="B9" s="75">
        <v>45.56</v>
      </c>
    </row>
    <row r="10" spans="1:11" ht="15.75" x14ac:dyDescent="0.25">
      <c r="A10" s="74"/>
      <c r="B10" s="1"/>
    </row>
    <row r="11" spans="1:11" ht="30" x14ac:dyDescent="0.25">
      <c r="A11" s="73" t="s">
        <v>42</v>
      </c>
      <c r="B11" s="51">
        <v>45.22</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topLeftCell="A4" workbookViewId="0"/>
  </sheetViews>
  <sheetFormatPr baseColWidth="10" defaultRowHeight="15.75" x14ac:dyDescent="0.25"/>
  <cols>
    <col min="1" max="1" width="28" style="11" customWidth="1"/>
    <col min="2" max="5" width="13.85546875" style="11" customWidth="1"/>
    <col min="6" max="6" width="12.28515625" style="11" customWidth="1"/>
    <col min="7" max="7" width="10.85546875" style="11" bestFit="1" customWidth="1"/>
    <col min="8" max="8" width="10.85546875" style="11" customWidth="1"/>
    <col min="9" max="9" width="6.140625" style="11" customWidth="1"/>
    <col min="10" max="10" width="10.85546875" style="11" bestFit="1" customWidth="1"/>
    <col min="11" max="11" width="8" style="11" customWidth="1"/>
    <col min="12" max="12" width="11.5703125" style="11" bestFit="1" customWidth="1"/>
    <col min="13" max="13" width="9.7109375" style="11" customWidth="1"/>
    <col min="14" max="14" width="11.85546875" style="11" customWidth="1"/>
    <col min="15" max="15" width="13" style="11" customWidth="1"/>
    <col min="16" max="16" width="12.42578125" style="11" bestFit="1" customWidth="1"/>
    <col min="17" max="18" width="11.5703125" style="11" bestFit="1" customWidth="1"/>
    <col min="19" max="16384" width="11.42578125" style="11"/>
  </cols>
  <sheetData>
    <row r="1" spans="1:13" x14ac:dyDescent="0.25">
      <c r="A1" s="38" t="s">
        <v>62</v>
      </c>
      <c r="B1" s="38"/>
      <c r="C1" s="38"/>
      <c r="D1" s="38"/>
    </row>
    <row r="2" spans="1:13" x14ac:dyDescent="0.25">
      <c r="A2" s="77" t="s">
        <v>2</v>
      </c>
      <c r="B2" s="77"/>
    </row>
    <row r="3" spans="1:13" s="45" customFormat="1" x14ac:dyDescent="0.25">
      <c r="A3" s="39" t="s">
        <v>44</v>
      </c>
      <c r="B3" s="39"/>
      <c r="C3" s="11"/>
      <c r="D3" s="11"/>
      <c r="E3" s="11"/>
      <c r="F3" s="11"/>
      <c r="G3" s="11"/>
      <c r="H3" s="11"/>
      <c r="I3" s="11"/>
      <c r="J3" s="11"/>
      <c r="K3" s="11"/>
    </row>
    <row r="5" spans="1:13" x14ac:dyDescent="0.25">
      <c r="A5" s="84" t="s">
        <v>54</v>
      </c>
      <c r="B5" s="84"/>
      <c r="C5" s="84"/>
      <c r="D5" s="84"/>
      <c r="E5" s="84"/>
    </row>
    <row r="6" spans="1:13" x14ac:dyDescent="0.25">
      <c r="A6" s="7"/>
      <c r="B6" s="7" t="s">
        <v>47</v>
      </c>
      <c r="C6" s="7" t="s">
        <v>48</v>
      </c>
      <c r="D6" s="7" t="s">
        <v>49</v>
      </c>
      <c r="E6" s="7" t="s">
        <v>50</v>
      </c>
    </row>
    <row r="7" spans="1:13" x14ac:dyDescent="0.25">
      <c r="A7" s="7" t="s">
        <v>51</v>
      </c>
      <c r="B7" s="7">
        <v>13</v>
      </c>
      <c r="C7" s="7">
        <v>12</v>
      </c>
      <c r="D7" s="7">
        <v>15</v>
      </c>
      <c r="E7" s="7">
        <v>6</v>
      </c>
    </row>
    <row r="8" spans="1:13" x14ac:dyDescent="0.25">
      <c r="A8" s="7" t="s">
        <v>52</v>
      </c>
      <c r="B8" s="7">
        <v>25</v>
      </c>
      <c r="C8" s="7">
        <v>30</v>
      </c>
      <c r="D8" s="7">
        <v>10</v>
      </c>
      <c r="E8" s="7">
        <v>17</v>
      </c>
    </row>
    <row r="12" spans="1:13" x14ac:dyDescent="0.25">
      <c r="A12" s="2" t="s">
        <v>45</v>
      </c>
      <c r="B12" s="3"/>
      <c r="C12" s="3"/>
      <c r="D12" s="3"/>
      <c r="E12" s="3"/>
      <c r="F12" s="3"/>
      <c r="G12" s="3"/>
      <c r="H12" s="3"/>
      <c r="I12" s="3"/>
      <c r="J12" s="3"/>
      <c r="K12" s="3"/>
      <c r="L12" s="3"/>
      <c r="M12" s="3"/>
    </row>
    <row r="13" spans="1:13" x14ac:dyDescent="0.25">
      <c r="A13" s="77" t="s">
        <v>46</v>
      </c>
      <c r="B13" s="77"/>
      <c r="C13" s="77"/>
      <c r="D13" s="77"/>
      <c r="E13" s="77"/>
      <c r="F13" s="77"/>
      <c r="G13" s="77"/>
      <c r="H13" s="77"/>
      <c r="I13" s="77"/>
      <c r="J13" s="77"/>
      <c r="K13" s="77"/>
      <c r="L13" s="77"/>
      <c r="M13" s="77"/>
    </row>
    <row r="14" spans="1:13" x14ac:dyDescent="0.25">
      <c r="A14" s="77"/>
      <c r="B14" s="77"/>
      <c r="C14" s="77"/>
      <c r="D14" s="77"/>
      <c r="E14" s="77"/>
      <c r="F14" s="77"/>
      <c r="G14" s="77"/>
      <c r="H14" s="77"/>
      <c r="I14" s="77"/>
      <c r="J14" s="77"/>
      <c r="K14" s="77"/>
      <c r="L14" s="77"/>
      <c r="M14" s="77"/>
    </row>
    <row r="15" spans="1:13" x14ac:dyDescent="0.25">
      <c r="A15" s="7"/>
      <c r="B15" s="7" t="s">
        <v>47</v>
      </c>
      <c r="C15" s="7" t="s">
        <v>48</v>
      </c>
      <c r="D15" s="7" t="s">
        <v>49</v>
      </c>
      <c r="E15" s="7" t="s">
        <v>50</v>
      </c>
      <c r="F15" s="77"/>
      <c r="G15" s="77"/>
      <c r="H15" s="77"/>
      <c r="I15" s="77"/>
      <c r="J15" s="77"/>
      <c r="K15" s="77"/>
      <c r="L15" s="77"/>
      <c r="M15" s="77"/>
    </row>
    <row r="16" spans="1:13" ht="24.75" customHeight="1" x14ac:dyDescent="0.25">
      <c r="A16" s="80" t="s">
        <v>53</v>
      </c>
      <c r="B16" s="81">
        <f>B7-B8</f>
        <v>-12</v>
      </c>
      <c r="C16" s="81">
        <f t="shared" ref="C16:E16" si="0">C7-C8</f>
        <v>-18</v>
      </c>
      <c r="D16" s="81">
        <f t="shared" si="0"/>
        <v>5</v>
      </c>
      <c r="E16" s="81">
        <f t="shared" si="0"/>
        <v>-11</v>
      </c>
      <c r="F16" s="77"/>
      <c r="G16" s="77"/>
      <c r="H16" s="77"/>
      <c r="I16" s="77"/>
      <c r="J16" s="77"/>
      <c r="K16" s="77"/>
      <c r="L16" s="77"/>
      <c r="M16" s="77"/>
    </row>
    <row r="17" spans="1:13" x14ac:dyDescent="0.25">
      <c r="A17" s="79"/>
      <c r="B17" s="77"/>
      <c r="C17" s="77"/>
      <c r="D17" s="77"/>
      <c r="E17" s="77"/>
      <c r="F17" s="77"/>
      <c r="G17" s="77"/>
      <c r="H17" s="77"/>
      <c r="I17" s="77"/>
      <c r="J17" s="77"/>
      <c r="K17" s="77"/>
      <c r="L17" s="77"/>
      <c r="M17" s="7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sheetViews>
  <sheetFormatPr baseColWidth="10" defaultRowHeight="15.75" x14ac:dyDescent="0.25"/>
  <cols>
    <col min="1" max="1" width="28" style="11" customWidth="1"/>
    <col min="2" max="8" width="13.140625" style="11" customWidth="1"/>
    <col min="9" max="16384" width="11.42578125" style="11"/>
  </cols>
  <sheetData>
    <row r="1" spans="1:8" x14ac:dyDescent="0.25">
      <c r="A1" s="38" t="s">
        <v>62</v>
      </c>
      <c r="B1" s="38"/>
      <c r="C1" s="38"/>
      <c r="D1" s="38"/>
    </row>
    <row r="2" spans="1:8" x14ac:dyDescent="0.25">
      <c r="A2" s="83" t="s">
        <v>2</v>
      </c>
      <c r="B2" s="83"/>
      <c r="F2" s="85"/>
    </row>
    <row r="3" spans="1:8" s="45" customFormat="1" x14ac:dyDescent="0.25">
      <c r="A3" s="39" t="s">
        <v>44</v>
      </c>
      <c r="B3" s="39"/>
      <c r="C3" s="11"/>
      <c r="D3" s="11"/>
    </row>
    <row r="5" spans="1:8" x14ac:dyDescent="0.25">
      <c r="A5" s="76" t="s">
        <v>54</v>
      </c>
      <c r="B5" s="76"/>
      <c r="C5" s="76"/>
      <c r="D5" s="76"/>
      <c r="E5" s="76"/>
    </row>
    <row r="6" spans="1:8" x14ac:dyDescent="0.25">
      <c r="A6" s="8"/>
      <c r="B6" s="4" t="s">
        <v>47</v>
      </c>
      <c r="C6" s="4" t="s">
        <v>48</v>
      </c>
      <c r="D6" s="4" t="s">
        <v>49</v>
      </c>
      <c r="E6" s="4" t="s">
        <v>50</v>
      </c>
    </row>
    <row r="7" spans="1:8" x14ac:dyDescent="0.25">
      <c r="A7" s="86" t="s">
        <v>51</v>
      </c>
      <c r="B7" s="5">
        <v>13</v>
      </c>
      <c r="C7" s="5">
        <v>12</v>
      </c>
      <c r="D7" s="5">
        <v>15</v>
      </c>
      <c r="E7" s="5">
        <v>6</v>
      </c>
    </row>
    <row r="8" spans="1:8" x14ac:dyDescent="0.25">
      <c r="A8" s="86" t="s">
        <v>52</v>
      </c>
      <c r="B8" s="5">
        <v>25</v>
      </c>
      <c r="C8" s="5">
        <v>30</v>
      </c>
      <c r="D8" s="5">
        <v>10</v>
      </c>
      <c r="E8" s="5">
        <v>17</v>
      </c>
    </row>
    <row r="9" spans="1:8" x14ac:dyDescent="0.25">
      <c r="A9" s="87"/>
      <c r="B9" s="87"/>
      <c r="C9" s="87"/>
      <c r="D9" s="87"/>
      <c r="E9" s="87"/>
    </row>
    <row r="10" spans="1:8" s="82" customFormat="1" x14ac:dyDescent="0.25">
      <c r="A10" s="88" t="s">
        <v>55</v>
      </c>
      <c r="B10" s="89"/>
      <c r="C10" s="89"/>
      <c r="D10" s="84"/>
      <c r="E10" s="77"/>
      <c r="F10" s="77"/>
      <c r="G10" s="77"/>
      <c r="H10" s="77"/>
    </row>
    <row r="11" spans="1:8" x14ac:dyDescent="0.25">
      <c r="A11" s="90"/>
      <c r="D11" s="83" t="s">
        <v>47</v>
      </c>
    </row>
    <row r="12" spans="1:8" x14ac:dyDescent="0.25">
      <c r="A12" s="90"/>
      <c r="B12" s="91" t="s">
        <v>35</v>
      </c>
      <c r="C12" s="92" t="s">
        <v>24</v>
      </c>
      <c r="D12" s="92" t="s">
        <v>25</v>
      </c>
      <c r="E12" s="93"/>
      <c r="F12" s="91" t="s">
        <v>35</v>
      </c>
      <c r="G12" s="92" t="s">
        <v>24</v>
      </c>
      <c r="H12" s="92" t="s">
        <v>25</v>
      </c>
    </row>
    <row r="13" spans="1:8" x14ac:dyDescent="0.25">
      <c r="A13" s="94" t="s">
        <v>26</v>
      </c>
      <c r="B13" s="95">
        <v>5</v>
      </c>
      <c r="C13" s="95">
        <v>2.9</v>
      </c>
      <c r="D13" s="95">
        <v>14.5</v>
      </c>
      <c r="E13" s="96" t="s">
        <v>20</v>
      </c>
      <c r="F13" s="95">
        <v>125</v>
      </c>
      <c r="G13" s="95">
        <v>2.61</v>
      </c>
      <c r="H13" s="95">
        <v>326.25</v>
      </c>
    </row>
    <row r="14" spans="1:8" x14ac:dyDescent="0.25">
      <c r="A14" s="94" t="s">
        <v>19</v>
      </c>
      <c r="B14" s="95">
        <v>145</v>
      </c>
      <c r="C14" s="95"/>
      <c r="D14" s="95">
        <v>377</v>
      </c>
      <c r="E14" s="96" t="s">
        <v>0</v>
      </c>
      <c r="F14" s="95">
        <v>25</v>
      </c>
      <c r="G14" s="95">
        <v>2.61</v>
      </c>
      <c r="H14" s="95">
        <v>65.25</v>
      </c>
    </row>
    <row r="15" spans="1:8" x14ac:dyDescent="0.25">
      <c r="A15" s="94" t="s">
        <v>33</v>
      </c>
      <c r="B15" s="95">
        <v>150</v>
      </c>
      <c r="C15" s="95">
        <v>2.61</v>
      </c>
      <c r="D15" s="95">
        <v>391.5</v>
      </c>
      <c r="E15" s="96" t="s">
        <v>33</v>
      </c>
      <c r="F15" s="95">
        <v>150</v>
      </c>
      <c r="G15" s="95">
        <v>2.61</v>
      </c>
      <c r="H15" s="95">
        <v>391.5</v>
      </c>
    </row>
    <row r="17" spans="1:8" x14ac:dyDescent="0.25">
      <c r="D17" s="83" t="s">
        <v>48</v>
      </c>
    </row>
    <row r="18" spans="1:8" x14ac:dyDescent="0.25">
      <c r="A18" s="94"/>
      <c r="B18" s="91" t="s">
        <v>35</v>
      </c>
      <c r="C18" s="92" t="s">
        <v>24</v>
      </c>
      <c r="D18" s="92" t="s">
        <v>25</v>
      </c>
      <c r="E18" s="93"/>
      <c r="F18" s="91" t="s">
        <v>35</v>
      </c>
      <c r="G18" s="92" t="s">
        <v>24</v>
      </c>
      <c r="H18" s="92" t="s">
        <v>25</v>
      </c>
    </row>
    <row r="19" spans="1:8" x14ac:dyDescent="0.25">
      <c r="A19" s="94" t="s">
        <v>26</v>
      </c>
      <c r="B19" s="95">
        <v>25</v>
      </c>
      <c r="C19" s="95">
        <v>2.61</v>
      </c>
      <c r="D19" s="95">
        <v>65.25</v>
      </c>
      <c r="E19" s="96" t="s">
        <v>20</v>
      </c>
      <c r="F19" s="95">
        <v>175</v>
      </c>
      <c r="G19" s="95">
        <v>2.4300000000000002</v>
      </c>
      <c r="H19" s="95">
        <v>425.25</v>
      </c>
    </row>
    <row r="20" spans="1:8" x14ac:dyDescent="0.25">
      <c r="A20" s="94" t="s">
        <v>19</v>
      </c>
      <c r="B20" s="95">
        <v>180</v>
      </c>
      <c r="C20" s="95"/>
      <c r="D20" s="95">
        <v>432.9</v>
      </c>
      <c r="E20" s="96" t="s">
        <v>0</v>
      </c>
      <c r="F20" s="95">
        <v>30</v>
      </c>
      <c r="G20" s="95">
        <v>2.4300000000000002</v>
      </c>
      <c r="H20" s="95">
        <v>72.900000000000006</v>
      </c>
    </row>
    <row r="21" spans="1:8" x14ac:dyDescent="0.25">
      <c r="A21" s="94" t="s">
        <v>33</v>
      </c>
      <c r="B21" s="95">
        <v>205</v>
      </c>
      <c r="C21" s="95">
        <v>2.4300000000000002</v>
      </c>
      <c r="D21" s="95">
        <v>498.15</v>
      </c>
      <c r="E21" s="96" t="s">
        <v>33</v>
      </c>
      <c r="F21" s="95">
        <v>205</v>
      </c>
      <c r="G21" s="95">
        <v>2.4299999999999997</v>
      </c>
      <c r="H21" s="95">
        <v>498.15</v>
      </c>
    </row>
    <row r="23" spans="1:8" x14ac:dyDescent="0.25">
      <c r="D23" s="83" t="s">
        <v>49</v>
      </c>
    </row>
    <row r="24" spans="1:8" x14ac:dyDescent="0.25">
      <c r="A24" s="94"/>
      <c r="B24" s="91" t="s">
        <v>35</v>
      </c>
      <c r="C24" s="92" t="s">
        <v>24</v>
      </c>
      <c r="D24" s="92" t="s">
        <v>25</v>
      </c>
      <c r="E24" s="93"/>
      <c r="F24" s="91" t="s">
        <v>35</v>
      </c>
      <c r="G24" s="92" t="s">
        <v>24</v>
      </c>
      <c r="H24" s="97" t="s">
        <v>25</v>
      </c>
    </row>
    <row r="25" spans="1:8" x14ac:dyDescent="0.25">
      <c r="A25" s="94" t="s">
        <v>26</v>
      </c>
      <c r="B25" s="95">
        <v>30</v>
      </c>
      <c r="C25" s="95">
        <v>2.4300000000000002</v>
      </c>
      <c r="D25" s="95">
        <v>72.900000000000006</v>
      </c>
      <c r="E25" s="96" t="s">
        <v>20</v>
      </c>
      <c r="F25" s="95">
        <v>224</v>
      </c>
      <c r="G25" s="95">
        <v>2.5</v>
      </c>
      <c r="H25" s="95">
        <v>560</v>
      </c>
    </row>
    <row r="26" spans="1:8" x14ac:dyDescent="0.25">
      <c r="A26" s="94" t="s">
        <v>19</v>
      </c>
      <c r="B26" s="95">
        <v>204</v>
      </c>
      <c r="C26" s="95"/>
      <c r="D26" s="95">
        <v>512.1</v>
      </c>
      <c r="E26" s="96" t="s">
        <v>0</v>
      </c>
      <c r="F26" s="95">
        <v>10</v>
      </c>
      <c r="G26" s="95">
        <v>2.5</v>
      </c>
      <c r="H26" s="95">
        <v>25</v>
      </c>
    </row>
    <row r="27" spans="1:8" x14ac:dyDescent="0.25">
      <c r="A27" s="94" t="s">
        <v>33</v>
      </c>
      <c r="B27" s="95">
        <v>234</v>
      </c>
      <c r="C27" s="95">
        <v>2.5</v>
      </c>
      <c r="D27" s="95">
        <v>585</v>
      </c>
      <c r="E27" s="96" t="s">
        <v>33</v>
      </c>
      <c r="F27" s="95">
        <v>234</v>
      </c>
      <c r="G27" s="95">
        <v>2.5</v>
      </c>
      <c r="H27" s="95">
        <v>585</v>
      </c>
    </row>
    <row r="29" spans="1:8" x14ac:dyDescent="0.25">
      <c r="D29" s="83" t="s">
        <v>50</v>
      </c>
    </row>
    <row r="30" spans="1:8" x14ac:dyDescent="0.25">
      <c r="A30" s="42"/>
      <c r="B30" s="43" t="s">
        <v>35</v>
      </c>
      <c r="C30" s="44" t="s">
        <v>24</v>
      </c>
      <c r="D30" s="44" t="s">
        <v>25</v>
      </c>
      <c r="E30" s="42"/>
      <c r="F30" s="43" t="s">
        <v>35</v>
      </c>
      <c r="G30" s="44" t="s">
        <v>24</v>
      </c>
      <c r="H30" s="44" t="s">
        <v>25</v>
      </c>
    </row>
    <row r="31" spans="1:8" x14ac:dyDescent="0.25">
      <c r="A31" s="42" t="s">
        <v>26</v>
      </c>
      <c r="B31" s="95">
        <v>10</v>
      </c>
      <c r="C31" s="95">
        <v>2.5</v>
      </c>
      <c r="D31" s="95">
        <v>25</v>
      </c>
      <c r="E31" s="42" t="s">
        <v>20</v>
      </c>
      <c r="F31" s="95">
        <v>223</v>
      </c>
      <c r="G31" s="95">
        <v>2.68</v>
      </c>
      <c r="H31" s="95">
        <v>597.64</v>
      </c>
    </row>
    <row r="32" spans="1:8" x14ac:dyDescent="0.25">
      <c r="A32" s="42" t="s">
        <v>19</v>
      </c>
      <c r="B32" s="95">
        <v>230</v>
      </c>
      <c r="C32" s="95"/>
      <c r="D32" s="95">
        <v>618.20000000000005</v>
      </c>
      <c r="E32" s="42" t="s">
        <v>0</v>
      </c>
      <c r="F32" s="95">
        <v>17</v>
      </c>
      <c r="G32" s="95">
        <v>2.68</v>
      </c>
      <c r="H32" s="95">
        <v>45.56</v>
      </c>
    </row>
    <row r="33" spans="1:9" x14ac:dyDescent="0.25">
      <c r="A33" s="42" t="s">
        <v>33</v>
      </c>
      <c r="B33" s="95">
        <v>240</v>
      </c>
      <c r="C33" s="95">
        <v>2.68</v>
      </c>
      <c r="D33" s="95">
        <v>643.20000000000005</v>
      </c>
      <c r="E33" s="42" t="s">
        <v>33</v>
      </c>
      <c r="F33" s="95">
        <v>240</v>
      </c>
      <c r="G33" s="95">
        <v>2.68</v>
      </c>
      <c r="H33" s="95">
        <v>643.20000000000005</v>
      </c>
    </row>
    <row r="35" spans="1:9" x14ac:dyDescent="0.25">
      <c r="A35" s="2" t="s">
        <v>56</v>
      </c>
      <c r="B35" s="3"/>
      <c r="C35" s="3"/>
      <c r="D35" s="3"/>
      <c r="E35" s="3"/>
      <c r="F35" s="3"/>
      <c r="G35" s="3"/>
      <c r="H35" s="3"/>
      <c r="I35" s="24"/>
    </row>
    <row r="37" spans="1:9" ht="63" x14ac:dyDescent="0.25">
      <c r="A37" s="16"/>
      <c r="B37" s="99" t="s">
        <v>57</v>
      </c>
      <c r="C37" s="99" t="s">
        <v>58</v>
      </c>
      <c r="D37" s="99" t="s">
        <v>59</v>
      </c>
      <c r="E37" s="98" t="s">
        <v>60</v>
      </c>
      <c r="F37" s="99" t="s">
        <v>61</v>
      </c>
    </row>
    <row r="38" spans="1:9" ht="25.5" customHeight="1" x14ac:dyDescent="0.25">
      <c r="A38" s="16" t="s">
        <v>47</v>
      </c>
      <c r="B38" s="101">
        <f>B7</f>
        <v>13</v>
      </c>
      <c r="C38" s="101">
        <f>B8</f>
        <v>25</v>
      </c>
      <c r="D38" s="102">
        <f>B38-C38</f>
        <v>-12</v>
      </c>
      <c r="E38" s="63">
        <f>C15</f>
        <v>2.61</v>
      </c>
      <c r="F38" s="81">
        <f>D38*E38</f>
        <v>-31.32</v>
      </c>
    </row>
    <row r="39" spans="1:9" ht="25.5" customHeight="1" x14ac:dyDescent="0.25">
      <c r="A39" s="16" t="s">
        <v>48</v>
      </c>
      <c r="B39" s="101">
        <f>C7</f>
        <v>12</v>
      </c>
      <c r="C39" s="101">
        <f>C8</f>
        <v>30</v>
      </c>
      <c r="D39" s="102">
        <f t="shared" ref="D39:D41" si="0">B39-C39</f>
        <v>-18</v>
      </c>
      <c r="E39" s="63">
        <f>C21</f>
        <v>2.4300000000000002</v>
      </c>
      <c r="F39" s="81">
        <f t="shared" ref="F39:F41" si="1">D39*E39</f>
        <v>-43.74</v>
      </c>
    </row>
    <row r="40" spans="1:9" ht="25.5" customHeight="1" x14ac:dyDescent="0.25">
      <c r="A40" s="16" t="s">
        <v>49</v>
      </c>
      <c r="B40" s="101">
        <f>D7</f>
        <v>15</v>
      </c>
      <c r="C40" s="101">
        <f>D8</f>
        <v>10</v>
      </c>
      <c r="D40" s="102">
        <f t="shared" si="0"/>
        <v>5</v>
      </c>
      <c r="E40" s="63">
        <f>C27</f>
        <v>2.5</v>
      </c>
      <c r="F40" s="81">
        <f t="shared" si="1"/>
        <v>12.5</v>
      </c>
    </row>
    <row r="41" spans="1:9" ht="25.5" customHeight="1" x14ac:dyDescent="0.25">
      <c r="A41" s="16" t="s">
        <v>50</v>
      </c>
      <c r="B41" s="101">
        <f>E7</f>
        <v>6</v>
      </c>
      <c r="C41" s="101">
        <f>E8</f>
        <v>17</v>
      </c>
      <c r="D41" s="102">
        <f t="shared" si="0"/>
        <v>-11</v>
      </c>
      <c r="E41" s="63">
        <f>C33</f>
        <v>2.68</v>
      </c>
      <c r="F41" s="81">
        <f t="shared" si="1"/>
        <v>-29.48</v>
      </c>
    </row>
    <row r="42" spans="1:9" ht="25.5" customHeight="1" x14ac:dyDescent="0.25">
      <c r="A42" s="16" t="s">
        <v>1</v>
      </c>
      <c r="B42" s="102">
        <f>SUM(B38:B41)</f>
        <v>46</v>
      </c>
      <c r="C42" s="102">
        <f>SUM(C38:C41)</f>
        <v>82</v>
      </c>
      <c r="D42" s="102">
        <f>SUM(D38:D41)</f>
        <v>-36</v>
      </c>
      <c r="E42" s="100"/>
      <c r="F42" s="41">
        <f>SUM(F38:F41)</f>
        <v>-92.04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Q1 Cas chap 5</vt:lpstr>
      <vt:lpstr>Q2 Cas Chap 5</vt:lpstr>
      <vt:lpstr>Q3 Cas chap 5</vt:lpstr>
      <vt:lpstr>Q4 Cas chap 5</vt:lpstr>
      <vt:lpstr>Q5 Cas Chap 5</vt:lpstr>
      <vt:lpstr>Q6 Cas Chap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COIC</dc:creator>
  <cp:lastModifiedBy>Bernard COÏC</cp:lastModifiedBy>
  <dcterms:created xsi:type="dcterms:W3CDTF">2019-01-13T10:34:42Z</dcterms:created>
  <dcterms:modified xsi:type="dcterms:W3CDTF">2021-11-09T17:34:43Z</dcterms:modified>
</cp:coreProperties>
</file>