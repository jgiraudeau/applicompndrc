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fa\Documents\Foucher 2021\BLOC 3 2021 AVEC CORRECTIONS\CHAPITRES CORRIGES 2021 BLOC 3 PDF\BLOC 3 FICHIERS EXCEL\"/>
    </mc:Choice>
  </mc:AlternateContent>
  <bookViews>
    <workbookView xWindow="0" yWindow="0" windowWidth="17640" windowHeight="7350"/>
  </bookViews>
  <sheets>
    <sheet name="Ex 1 Chap 5" sheetId="2" r:id="rId1"/>
    <sheet name="Ex 2 Chap 5" sheetId="3" r:id="rId2"/>
    <sheet name="Ex 3 Chap 5" sheetId="4" r:id="rId3"/>
    <sheet name="Ex 4 Chap 5" sheetId="5" r:id="rId4"/>
    <sheet name="Ex 5 Chap 5" sheetId="6" r:id="rId5"/>
    <sheet name="Ex 6 Chap 5" sheetId="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0" i="3" l="1"/>
  <c r="B20" i="3"/>
  <c r="E11" i="2" l="1"/>
  <c r="D11" i="2"/>
  <c r="B11" i="2"/>
  <c r="D9" i="2"/>
  <c r="D7" i="2"/>
  <c r="D6" i="2"/>
</calcChain>
</file>

<file path=xl/sharedStrings.xml><?xml version="1.0" encoding="utf-8"?>
<sst xmlns="http://schemas.openxmlformats.org/spreadsheetml/2006/main" count="301" uniqueCount="121">
  <si>
    <t>CHAP 5 VALORISER LES STOCKS ET REALISER DES INVENTAIRES</t>
  </si>
  <si>
    <t>Exercice 1</t>
  </si>
  <si>
    <t>Ressource : Mouvements de stocks du mois de septembre</t>
  </si>
  <si>
    <t>Quantité</t>
  </si>
  <si>
    <t>Coût unitaire</t>
  </si>
  <si>
    <t>Montant</t>
  </si>
  <si>
    <t>Sorties</t>
  </si>
  <si>
    <t>Stock initial</t>
  </si>
  <si>
    <t>Semaine 1</t>
  </si>
  <si>
    <t>Semaine 2</t>
  </si>
  <si>
    <t>Semaine 3</t>
  </si>
  <si>
    <t>Semaine 4</t>
  </si>
  <si>
    <t>Total</t>
  </si>
  <si>
    <t>Présentez la fiche d’évaluation des stocks du mois de septembre pour la référence de bague.</t>
  </si>
  <si>
    <t>Entrées</t>
  </si>
  <si>
    <t>Stock final</t>
  </si>
  <si>
    <t>Exercice 2</t>
  </si>
  <si>
    <t>Données</t>
  </si>
  <si>
    <t xml:space="preserve">Prix d'achat unitaire </t>
  </si>
  <si>
    <t>Frais accessoires d'achat en €:</t>
  </si>
  <si>
    <t>Stock réel fin mars (nombre d'articles):</t>
  </si>
  <si>
    <t>Ressource : Mouvements de stocks de la dernière semaine de mars</t>
  </si>
  <si>
    <t>Lundi</t>
  </si>
  <si>
    <t>Mardi</t>
  </si>
  <si>
    <t>Mercredi</t>
  </si>
  <si>
    <t>Jeudi</t>
  </si>
  <si>
    <t>Vendredi</t>
  </si>
  <si>
    <t>Totaux</t>
  </si>
  <si>
    <t>1) Calculez le coût d’achat des marchandises entrées en stocks</t>
  </si>
  <si>
    <t>Coût d'achat unitaire</t>
  </si>
  <si>
    <t>Entrée du lundi</t>
  </si>
  <si>
    <t>Entrée du mercredi</t>
  </si>
  <si>
    <t>2) Etablissez la fiche de valorisation des stocks par la méthode du coût moyen unitaire pondéré après chaque entrée.</t>
  </si>
  <si>
    <t>Dates</t>
  </si>
  <si>
    <t>Stock</t>
  </si>
  <si>
    <t>3) Déterminez la valeur d’inventaire pour cet article et calculez la démarque inconnue.</t>
  </si>
  <si>
    <t>Valeur d'inventaire (valeur du stock réel valorisé au CUMP)</t>
  </si>
  <si>
    <t>Démarque = Stock réel - stock théorique</t>
  </si>
  <si>
    <t>Exercice 3</t>
  </si>
  <si>
    <t>Quantités</t>
  </si>
  <si>
    <t xml:space="preserve">Sorties </t>
  </si>
  <si>
    <t>Date</t>
  </si>
  <si>
    <t>1. Établissez la fiche de valorisation des stocks pour la semaine du 12 au 17 octobre.</t>
  </si>
  <si>
    <t>ENTREES</t>
  </si>
  <si>
    <t>SORTIES</t>
  </si>
  <si>
    <t xml:space="preserve">STOCK </t>
  </si>
  <si>
    <t>2. Vérifiez par le calcul les quantités et la valeur du stock final que vous avez obtenues dans votre fiche de stock.</t>
  </si>
  <si>
    <t>Vérification du Stock Final en Quantités</t>
  </si>
  <si>
    <t>= Stock initial en quantités + total des quantités entrées - total des quantités  sorties =</t>
  </si>
  <si>
    <t>Vérification du Stock Final en Valeur</t>
  </si>
  <si>
    <t>= Stock initial en valeur + total des entrées en valeur - total des sorties en valeur =</t>
  </si>
  <si>
    <t>Exercice 4</t>
  </si>
  <si>
    <t xml:space="preserve">Données </t>
  </si>
  <si>
    <t>Stock réel fin juin en quantités:</t>
  </si>
  <si>
    <t>Ressource: Mouvements de stocks de la référence de figurine</t>
  </si>
  <si>
    <t>1. Présentez la fiche d’évaluation du stock selon la méthode du CUMP calculé sur le mois.</t>
  </si>
  <si>
    <t>Stock final théorique</t>
  </si>
  <si>
    <t>2. Calculez la différence d’inventaire en quantité et en valeur.</t>
  </si>
  <si>
    <t>Stock final réel</t>
  </si>
  <si>
    <t>Stock final Théorique</t>
  </si>
  <si>
    <t>Différence d'inventaire</t>
  </si>
  <si>
    <t>Exercice 5</t>
  </si>
  <si>
    <t>Ressource 1 : mouvements de stocks en quantités pour le mois d'avril</t>
  </si>
  <si>
    <t>Ressource 2 : Coûts d'achat des marchandises</t>
  </si>
  <si>
    <t>Marque 
Aster</t>
  </si>
  <si>
    <t>Marque 
Bilboquet</t>
  </si>
  <si>
    <t>Coût d'achat du Stock initial</t>
  </si>
  <si>
    <t xml:space="preserve">Livraisons </t>
  </si>
  <si>
    <t xml:space="preserve">Coût d'achat des livraisons </t>
  </si>
  <si>
    <t>Ventes</t>
  </si>
  <si>
    <t xml:space="preserve">Stock final réel </t>
  </si>
  <si>
    <t>1. Établissez les fiches de valorisation du stock pour les deux marques de bougeoirs.</t>
  </si>
  <si>
    <t xml:space="preserve">Stock final </t>
  </si>
  <si>
    <t>2. Évaluez les différences d’inventaire pour les deux marques.</t>
  </si>
  <si>
    <t>Différence d'inventaire en quantités</t>
  </si>
  <si>
    <t>Différence d'inventaire en valeur</t>
  </si>
  <si>
    <t>TOTAL</t>
  </si>
  <si>
    <t>3. Calculez pour les deux références les indicateurs de gestion de stock : le stock moyen possédé sur la période, la rotation des stocks et la durée moyenne de stockage.</t>
  </si>
  <si>
    <t>Marque Aster</t>
  </si>
  <si>
    <t>Marque Bilboquet</t>
  </si>
  <si>
    <t>Stock moyen possédé</t>
  </si>
  <si>
    <t>Rotation des stocks</t>
  </si>
  <si>
    <t xml:space="preserve">Durée moyenne de stockage en jours </t>
  </si>
  <si>
    <t>4. Commentez les résultats des indicateurs de gestion des stocks.</t>
  </si>
  <si>
    <t>Exercice 6</t>
  </si>
  <si>
    <t>Marque Ambre et or</t>
  </si>
  <si>
    <t>Marque Spraysol</t>
  </si>
  <si>
    <t>Prix de vente TTC</t>
  </si>
  <si>
    <t>Ressource : Mouvements de stocks pour le mois de juillet</t>
  </si>
  <si>
    <t>Stock au 1/7</t>
  </si>
  <si>
    <t>Stock au 15/7</t>
  </si>
  <si>
    <t>Stock au 22/7</t>
  </si>
  <si>
    <t>Stocks au 1/8</t>
  </si>
  <si>
    <t>En quantités</t>
  </si>
  <si>
    <t>En valeur</t>
  </si>
  <si>
    <t>Livraison du 16/7</t>
  </si>
  <si>
    <t>Livraison du 23/7</t>
  </si>
  <si>
    <t>Quantité livrée</t>
  </si>
  <si>
    <t>Coût d'achat</t>
  </si>
  <si>
    <t>1. Calculez les ventes en quantité réalisées en juillet pour chaque marque.</t>
  </si>
  <si>
    <t>Ventes du 1 au 15/7</t>
  </si>
  <si>
    <t>Ventes du 16 au 22/7</t>
  </si>
  <si>
    <t>Ventes du 23 au 31/7</t>
  </si>
  <si>
    <t>Ventes totales</t>
  </si>
  <si>
    <t xml:space="preserve">2. Calculez pour chaque marque le stock moyen, la durée moyenne de stockage et la rotation des stocks. Commentez les résultats </t>
  </si>
  <si>
    <t>Stock moyen</t>
  </si>
  <si>
    <t>Durée moyenne de stockage en jours</t>
  </si>
  <si>
    <t>3. Établissez les fiches de valorisation des stocks par la méthode du coût moyen pondéré après chaque entrée.</t>
  </si>
  <si>
    <t>STOCK FINAL</t>
  </si>
  <si>
    <t>Q</t>
  </si>
  <si>
    <t>CU</t>
  </si>
  <si>
    <t>Sorties du 1 au 15/7</t>
  </si>
  <si>
    <t>Livraison 16/7</t>
  </si>
  <si>
    <t>Sorties du 16  au 22/7</t>
  </si>
  <si>
    <t>Sorties du 23 au31/7</t>
  </si>
  <si>
    <t>4. Calculez pour chaque marque le chiffre d’affaires hors taxes réalisé au mois de juillet, le coût d’achat des marchandises sorties des stocks et la marge brute réalisée.</t>
  </si>
  <si>
    <t>Prix de vente HT</t>
  </si>
  <si>
    <t>Chiffre d'affaires HT</t>
  </si>
  <si>
    <t xml:space="preserve">Coût d'achat </t>
  </si>
  <si>
    <t>Marge obtenue</t>
  </si>
  <si>
    <t>Ressource : Mouvements de stocks du 12 au 17 octobre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</si>
</sst>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0.0000"/>
    <numFmt numFmtId="165" formatCode="#,##0.00\ _€"/>
    <numFmt numFmtId="166" formatCode="[$-40C]d\-mmm;@"/>
    <numFmt numFmtId="167" formatCode="_-* #,##0.00\ [$€-40C]_-;\-* #,##0.00\ [$€-40C]_-;_-* &quot;-&quot;??\ [$€-40C]_-;_-@_-"/>
    <numFmt numFmtId="168" formatCode="#,##0.00\ &quot;€&quot;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12"/>
      <name val="Calibri"/>
      <family val="2"/>
    </font>
    <font>
      <b/>
      <u/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u/>
      <sz val="12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CFF"/>
        <bgColor rgb="FF000000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00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/>
  </cellStyleXfs>
  <cellXfs count="220">
    <xf numFmtId="0" fontId="0" fillId="0" borderId="0" xfId="0"/>
    <xf numFmtId="0" fontId="3" fillId="2" borderId="0" xfId="0" applyFont="1" applyFill="1"/>
    <xf numFmtId="0" fontId="3" fillId="0" borderId="0" xfId="0" applyFont="1" applyFill="1"/>
    <xf numFmtId="0" fontId="3" fillId="2" borderId="0" xfId="3" applyFont="1" applyFill="1"/>
    <xf numFmtId="0" fontId="5" fillId="3" borderId="0" xfId="3" applyFont="1" applyFill="1"/>
    <xf numFmtId="0" fontId="5" fillId="0" borderId="0" xfId="3" applyFont="1"/>
    <xf numFmtId="0" fontId="6" fillId="0" borderId="0" xfId="3" applyFont="1"/>
    <xf numFmtId="0" fontId="3" fillId="4" borderId="0" xfId="3" applyFont="1" applyFill="1"/>
    <xf numFmtId="0" fontId="3" fillId="5" borderId="0" xfId="3" applyFont="1" applyFill="1"/>
    <xf numFmtId="0" fontId="3" fillId="6" borderId="0" xfId="3" applyFont="1" applyFill="1"/>
    <xf numFmtId="0" fontId="5" fillId="7" borderId="0" xfId="3" applyFont="1" applyFill="1"/>
    <xf numFmtId="0" fontId="5" fillId="0" borderId="1" xfId="3" applyFont="1" applyBorder="1" applyAlignment="1">
      <alignment horizontal="center" vertical="center" wrapText="1"/>
    </xf>
    <xf numFmtId="0" fontId="6" fillId="0" borderId="0" xfId="3" applyFont="1" applyAlignment="1">
      <alignment horizontal="right"/>
    </xf>
    <xf numFmtId="0" fontId="5" fillId="0" borderId="0" xfId="3" applyFont="1" applyAlignment="1">
      <alignment horizontal="center" vertical="center"/>
    </xf>
    <xf numFmtId="3" fontId="5" fillId="0" borderId="1" xfId="3" applyNumberFormat="1" applyFont="1" applyFill="1" applyBorder="1" applyAlignment="1" applyProtection="1">
      <alignment horizontal="center" vertical="center"/>
      <protection locked="0"/>
    </xf>
    <xf numFmtId="0" fontId="5" fillId="0" borderId="1" xfId="3" applyNumberFormat="1" applyFont="1" applyFill="1" applyBorder="1" applyAlignment="1" applyProtection="1">
      <alignment horizontal="center" vertical="center"/>
      <protection locked="0"/>
    </xf>
    <xf numFmtId="2" fontId="5" fillId="0" borderId="1" xfId="3" applyNumberFormat="1" applyFont="1" applyFill="1" applyBorder="1" applyAlignment="1" applyProtection="1">
      <alignment horizontal="right" vertical="center"/>
      <protection locked="0"/>
    </xf>
    <xf numFmtId="0" fontId="5" fillId="0" borderId="1" xfId="3" applyFont="1" applyFill="1" applyBorder="1" applyAlignment="1">
      <alignment horizontal="center" vertical="center"/>
    </xf>
    <xf numFmtId="3" fontId="3" fillId="0" borderId="1" xfId="3" applyNumberFormat="1" applyFont="1" applyBorder="1" applyAlignment="1">
      <alignment horizontal="center" vertical="center"/>
    </xf>
    <xf numFmtId="0" fontId="3" fillId="0" borderId="1" xfId="3" applyFont="1" applyBorder="1" applyAlignment="1">
      <alignment horizontal="center" vertical="center"/>
    </xf>
    <xf numFmtId="4" fontId="3" fillId="0" borderId="1" xfId="3" applyNumberFormat="1" applyFont="1" applyBorder="1" applyAlignment="1">
      <alignment horizontal="center" vertical="center"/>
    </xf>
    <xf numFmtId="0" fontId="6" fillId="0" borderId="0" xfId="3" applyFont="1" applyBorder="1"/>
    <xf numFmtId="0" fontId="6" fillId="0" borderId="0" xfId="3" applyFont="1" applyBorder="1" applyAlignment="1">
      <alignment horizontal="right"/>
    </xf>
    <xf numFmtId="164" fontId="7" fillId="0" borderId="0" xfId="3" applyNumberFormat="1" applyFont="1" applyFill="1" applyBorder="1" applyAlignment="1" applyProtection="1">
      <alignment horizontal="right"/>
      <protection locked="0"/>
    </xf>
    <xf numFmtId="0" fontId="3" fillId="8" borderId="0" xfId="3" applyFont="1" applyFill="1"/>
    <xf numFmtId="0" fontId="6" fillId="8" borderId="0" xfId="3" applyFont="1" applyFill="1" applyBorder="1" applyAlignment="1">
      <alignment horizontal="right"/>
    </xf>
    <xf numFmtId="0" fontId="5" fillId="0" borderId="1" xfId="3" applyFont="1" applyBorder="1" applyAlignment="1">
      <alignment horizontal="center" vertical="center"/>
    </xf>
    <xf numFmtId="0" fontId="3" fillId="0" borderId="1" xfId="3" applyFont="1" applyBorder="1" applyAlignment="1">
      <alignment horizontal="center" vertical="center" wrapText="1"/>
    </xf>
    <xf numFmtId="3" fontId="5" fillId="0" borderId="1" xfId="3" applyNumberFormat="1" applyFont="1" applyBorder="1" applyAlignment="1">
      <alignment horizontal="center" vertical="center"/>
    </xf>
    <xf numFmtId="4" fontId="5" fillId="0" borderId="1" xfId="3" applyNumberFormat="1" applyFont="1" applyBorder="1" applyAlignment="1">
      <alignment horizontal="center" vertical="center"/>
    </xf>
    <xf numFmtId="4" fontId="5" fillId="0" borderId="1" xfId="3" applyNumberFormat="1" applyFont="1" applyBorder="1" applyAlignment="1">
      <alignment horizontal="right" vertical="center"/>
    </xf>
    <xf numFmtId="2" fontId="5" fillId="0" borderId="1" xfId="3" applyNumberFormat="1" applyFont="1" applyBorder="1" applyAlignment="1">
      <alignment horizontal="center" vertical="center"/>
    </xf>
    <xf numFmtId="0" fontId="5" fillId="0" borderId="1" xfId="3" applyNumberFormat="1" applyFont="1" applyBorder="1" applyAlignment="1">
      <alignment horizontal="center" vertical="center"/>
    </xf>
    <xf numFmtId="0" fontId="5" fillId="0" borderId="0" xfId="3" applyFont="1" applyFill="1"/>
    <xf numFmtId="0" fontId="5" fillId="0" borderId="0" xfId="3" applyNumberFormat="1" applyFont="1" applyAlignment="1">
      <alignment horizontal="left"/>
    </xf>
    <xf numFmtId="0" fontId="3" fillId="9" borderId="0" xfId="3" applyFont="1" applyFill="1"/>
    <xf numFmtId="0" fontId="3" fillId="0" borderId="0" xfId="3" applyFont="1" applyFill="1"/>
    <xf numFmtId="0" fontId="5" fillId="0" borderId="0" xfId="3" applyNumberFormat="1" applyFont="1" applyFill="1" applyAlignment="1">
      <alignment horizontal="left"/>
    </xf>
    <xf numFmtId="0" fontId="3" fillId="7" borderId="0" xfId="3" applyNumberFormat="1" applyFont="1" applyFill="1" applyAlignment="1">
      <alignment horizontal="left"/>
    </xf>
    <xf numFmtId="0" fontId="5" fillId="0" borderId="1" xfId="3" applyNumberFormat="1" applyFont="1" applyBorder="1" applyAlignment="1">
      <alignment horizontal="left" vertical="center" wrapText="1"/>
    </xf>
    <xf numFmtId="0" fontId="5" fillId="0" borderId="1" xfId="3" applyNumberFormat="1" applyFont="1" applyBorder="1" applyAlignment="1">
      <alignment horizontal="center" vertical="center" wrapText="1"/>
    </xf>
    <xf numFmtId="0" fontId="5" fillId="0" borderId="2" xfId="3" applyNumberFormat="1" applyFont="1" applyBorder="1" applyAlignment="1">
      <alignment horizontal="left" vertical="center" wrapText="1"/>
    </xf>
    <xf numFmtId="0" fontId="3" fillId="0" borderId="0" xfId="3" applyNumberFormat="1" applyFont="1" applyFill="1" applyBorder="1" applyAlignment="1">
      <alignment horizontal="left" vertical="center"/>
    </xf>
    <xf numFmtId="0" fontId="3" fillId="0" borderId="0" xfId="3" applyNumberFormat="1" applyFont="1" applyBorder="1" applyAlignment="1">
      <alignment horizontal="center"/>
    </xf>
    <xf numFmtId="0" fontId="5" fillId="0" borderId="0" xfId="3" applyNumberFormat="1" applyFont="1" applyBorder="1" applyAlignment="1">
      <alignment horizontal="left" vertical="top" wrapText="1"/>
    </xf>
    <xf numFmtId="0" fontId="5" fillId="0" borderId="0" xfId="3" applyNumberFormat="1" applyFont="1" applyBorder="1" applyAlignment="1">
      <alignment horizontal="left"/>
    </xf>
    <xf numFmtId="0" fontId="3" fillId="0" borderId="1" xfId="3" applyNumberFormat="1" applyFont="1" applyBorder="1" applyAlignment="1">
      <alignment horizontal="left" vertical="center" wrapText="1"/>
    </xf>
    <xf numFmtId="0" fontId="5" fillId="0" borderId="1" xfId="3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3" applyNumberFormat="1" applyFont="1" applyBorder="1" applyAlignment="1">
      <alignment horizontal="left" vertical="center" wrapText="1"/>
    </xf>
    <xf numFmtId="0" fontId="5" fillId="0" borderId="0" xfId="3" applyNumberFormat="1" applyFont="1" applyFill="1" applyBorder="1" applyAlignment="1" applyProtection="1">
      <alignment horizontal="center" vertical="center" wrapText="1"/>
      <protection locked="0"/>
    </xf>
    <xf numFmtId="0" fontId="5" fillId="0" borderId="0" xfId="3" applyNumberFormat="1" applyFont="1" applyBorder="1" applyAlignment="1">
      <alignment horizontal="left" vertical="center" wrapText="1"/>
    </xf>
    <xf numFmtId="0" fontId="3" fillId="0" borderId="3" xfId="3" applyNumberFormat="1" applyFont="1" applyFill="1" applyBorder="1" applyAlignment="1">
      <alignment horizontal="center" vertical="center" wrapText="1"/>
    </xf>
    <xf numFmtId="0" fontId="3" fillId="0" borderId="3" xfId="3" applyNumberFormat="1" applyFont="1" applyFill="1" applyBorder="1" applyAlignment="1">
      <alignment horizontal="left" vertical="center" wrapText="1"/>
    </xf>
    <xf numFmtId="0" fontId="8" fillId="7" borderId="0" xfId="3" applyFont="1" applyFill="1"/>
    <xf numFmtId="0" fontId="3" fillId="7" borderId="0" xfId="3" applyFont="1" applyFill="1"/>
    <xf numFmtId="0" fontId="3" fillId="0" borderId="1" xfId="3" applyNumberFormat="1" applyFont="1" applyBorder="1" applyAlignment="1">
      <alignment horizontal="center" vertical="center" wrapText="1"/>
    </xf>
    <xf numFmtId="0" fontId="5" fillId="0" borderId="1" xfId="3" applyNumberFormat="1" applyFont="1" applyFill="1" applyBorder="1" applyAlignment="1">
      <alignment horizontal="left" vertical="center" wrapText="1"/>
    </xf>
    <xf numFmtId="0" fontId="5" fillId="0" borderId="0" xfId="3" applyNumberFormat="1" applyFont="1" applyAlignment="1">
      <alignment horizontal="left" wrapText="1"/>
    </xf>
    <xf numFmtId="0" fontId="3" fillId="0" borderId="1" xfId="3" applyNumberFormat="1" applyFont="1" applyFill="1" applyBorder="1" applyAlignment="1">
      <alignment horizontal="left" vertical="center" wrapText="1"/>
    </xf>
    <xf numFmtId="0" fontId="3" fillId="0" borderId="1" xfId="3" applyNumberFormat="1" applyFont="1" applyBorder="1" applyAlignment="1">
      <alignment horizontal="center"/>
    </xf>
    <xf numFmtId="0" fontId="3" fillId="0" borderId="0" xfId="3" applyNumberFormat="1" applyFont="1" applyFill="1" applyBorder="1" applyAlignment="1">
      <alignment horizontal="left" vertical="center" wrapText="1"/>
    </xf>
    <xf numFmtId="0" fontId="3" fillId="8" borderId="0" xfId="3" applyNumberFormat="1" applyFont="1" applyFill="1" applyAlignment="1">
      <alignment horizontal="left"/>
    </xf>
    <xf numFmtId="0" fontId="5" fillId="8" borderId="0" xfId="3" applyNumberFormat="1" applyFont="1" applyFill="1" applyAlignment="1">
      <alignment horizontal="left"/>
    </xf>
    <xf numFmtId="0" fontId="3" fillId="0" borderId="1" xfId="3" applyNumberFormat="1" applyFont="1" applyFill="1" applyBorder="1" applyAlignment="1" applyProtection="1">
      <alignment horizontal="center" vertical="center" wrapText="1"/>
      <protection locked="0"/>
    </xf>
    <xf numFmtId="0" fontId="3" fillId="0" borderId="1" xfId="3" applyNumberFormat="1" applyFont="1" applyBorder="1" applyAlignment="1">
      <alignment horizontal="left"/>
    </xf>
    <xf numFmtId="0" fontId="5" fillId="0" borderId="0" xfId="3" applyNumberFormat="1" applyFont="1" applyFill="1" applyBorder="1" applyAlignment="1" applyProtection="1">
      <alignment horizontal="left"/>
      <protection locked="0"/>
    </xf>
    <xf numFmtId="0" fontId="3" fillId="8" borderId="0" xfId="3" applyNumberFormat="1" applyFont="1" applyFill="1" applyBorder="1" applyAlignment="1">
      <alignment horizontal="left"/>
    </xf>
    <xf numFmtId="0" fontId="5" fillId="8" borderId="0" xfId="3" applyNumberFormat="1" applyFont="1" applyFill="1" applyBorder="1" applyAlignment="1">
      <alignment horizontal="left"/>
    </xf>
    <xf numFmtId="0" fontId="5" fillId="0" borderId="10" xfId="3" applyFont="1" applyBorder="1" applyAlignment="1">
      <alignment horizontal="center" vertical="center" wrapText="1"/>
    </xf>
    <xf numFmtId="0" fontId="3" fillId="0" borderId="0" xfId="3" applyFont="1" applyAlignment="1">
      <alignment horizontal="center" vertical="center"/>
    </xf>
    <xf numFmtId="0" fontId="5" fillId="0" borderId="11" xfId="3" applyFont="1" applyBorder="1" applyAlignment="1" applyProtection="1">
      <alignment horizontal="center" vertical="center"/>
      <protection locked="0"/>
    </xf>
    <xf numFmtId="0" fontId="5" fillId="0" borderId="10" xfId="3" applyFont="1" applyBorder="1" applyAlignment="1" applyProtection="1">
      <alignment horizontal="center" vertical="center"/>
      <protection locked="0"/>
    </xf>
    <xf numFmtId="165" fontId="5" fillId="0" borderId="10" xfId="3" applyNumberFormat="1" applyFont="1" applyBorder="1" applyAlignment="1" applyProtection="1">
      <alignment horizontal="right" vertical="center"/>
      <protection locked="0"/>
    </xf>
    <xf numFmtId="0" fontId="3" fillId="0" borderId="11" xfId="3" applyFont="1" applyBorder="1" applyAlignment="1">
      <alignment horizontal="center" vertical="center"/>
    </xf>
    <xf numFmtId="0" fontId="3" fillId="0" borderId="3" xfId="3" applyNumberFormat="1" applyFont="1" applyBorder="1" applyAlignment="1">
      <alignment horizontal="left"/>
    </xf>
    <xf numFmtId="0" fontId="5" fillId="0" borderId="6" xfId="3" applyNumberFormat="1" applyFont="1" applyBorder="1" applyAlignment="1">
      <alignment horizontal="left"/>
    </xf>
    <xf numFmtId="0" fontId="5" fillId="0" borderId="4" xfId="3" applyNumberFormat="1" applyFont="1" applyBorder="1" applyAlignment="1">
      <alignment horizontal="left"/>
    </xf>
    <xf numFmtId="165" fontId="5" fillId="0" borderId="1" xfId="3" applyNumberFormat="1" applyFont="1" applyBorder="1" applyAlignment="1">
      <alignment horizontal="center" vertical="center"/>
    </xf>
    <xf numFmtId="2" fontId="3" fillId="0" borderId="1" xfId="3" applyNumberFormat="1" applyFont="1" applyBorder="1" applyAlignment="1">
      <alignment horizontal="center" vertical="center"/>
    </xf>
    <xf numFmtId="0" fontId="0" fillId="3" borderId="0" xfId="0" applyFont="1" applyFill="1"/>
    <xf numFmtId="0" fontId="0" fillId="0" borderId="0" xfId="0" applyFont="1" applyFill="1"/>
    <xf numFmtId="0" fontId="0" fillId="0" borderId="0" xfId="0" applyFont="1"/>
    <xf numFmtId="0" fontId="3" fillId="4" borderId="0" xfId="0" applyFont="1" applyFill="1"/>
    <xf numFmtId="0" fontId="9" fillId="0" borderId="0" xfId="0" applyFont="1"/>
    <xf numFmtId="0" fontId="3" fillId="6" borderId="0" xfId="0" applyFont="1" applyFill="1"/>
    <xf numFmtId="0" fontId="9" fillId="7" borderId="0" xfId="0" applyFont="1" applyFill="1"/>
    <xf numFmtId="0" fontId="0" fillId="7" borderId="0" xfId="0" applyFont="1" applyFill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2" fontId="5" fillId="0" borderId="1" xfId="0" applyNumberFormat="1" applyFont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/>
    </xf>
    <xf numFmtId="0" fontId="5" fillId="0" borderId="0" xfId="0" applyFont="1" applyAlignment="1">
      <alignment horizontal="center" vertical="top" wrapText="1"/>
    </xf>
    <xf numFmtId="0" fontId="10" fillId="8" borderId="0" xfId="0" applyFont="1" applyFill="1"/>
    <xf numFmtId="0" fontId="0" fillId="8" borderId="0" xfId="0" applyFont="1" applyFill="1"/>
    <xf numFmtId="0" fontId="5" fillId="8" borderId="0" xfId="0" applyFont="1" applyFill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166" fontId="3" fillId="0" borderId="1" xfId="0" applyNumberFormat="1" applyFont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vertical="center" wrapText="1"/>
    </xf>
    <xf numFmtId="16" fontId="3" fillId="0" borderId="1" xfId="0" applyNumberFormat="1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right" vertical="center" wrapText="1"/>
    </xf>
    <xf numFmtId="0" fontId="2" fillId="8" borderId="0" xfId="0" applyFont="1" applyFill="1" applyAlignment="1">
      <alignment horizontal="left"/>
    </xf>
    <xf numFmtId="0" fontId="12" fillId="2" borderId="0" xfId="0" applyFont="1" applyFill="1"/>
    <xf numFmtId="0" fontId="12" fillId="0" borderId="0" xfId="0" applyFont="1" applyFill="1"/>
    <xf numFmtId="0" fontId="0" fillId="10" borderId="0" xfId="0" applyFont="1" applyFill="1"/>
    <xf numFmtId="0" fontId="12" fillId="0" borderId="0" xfId="0" applyFont="1"/>
    <xf numFmtId="0" fontId="3" fillId="7" borderId="0" xfId="0" applyFont="1" applyFill="1"/>
    <xf numFmtId="0" fontId="10" fillId="0" borderId="1" xfId="0" applyFont="1" applyBorder="1" applyAlignment="1">
      <alignment vertical="center" wrapText="1"/>
    </xf>
    <xf numFmtId="16" fontId="3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5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2" fontId="5" fillId="0" borderId="10" xfId="0" applyNumberFormat="1" applyFont="1" applyBorder="1" applyAlignment="1">
      <alignment horizontal="center" vertical="center"/>
    </xf>
    <xf numFmtId="2" fontId="3" fillId="0" borderId="10" xfId="0" applyNumberFormat="1" applyFont="1" applyBorder="1" applyAlignment="1">
      <alignment horizontal="center" vertical="center"/>
    </xf>
    <xf numFmtId="0" fontId="13" fillId="8" borderId="0" xfId="0" applyFont="1" applyFill="1" applyAlignment="1">
      <alignment vertical="center"/>
    </xf>
    <xf numFmtId="0" fontId="11" fillId="8" borderId="0" xfId="0" applyFont="1" applyFill="1"/>
    <xf numFmtId="0" fontId="14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left" vertical="center"/>
    </xf>
    <xf numFmtId="0" fontId="5" fillId="0" borderId="1" xfId="0" applyFont="1" applyBorder="1" applyAlignment="1">
      <alignment horizontal="left" wrapText="1"/>
    </xf>
    <xf numFmtId="0" fontId="5" fillId="0" borderId="0" xfId="0" applyFont="1" applyBorder="1"/>
    <xf numFmtId="0" fontId="2" fillId="8" borderId="0" xfId="0" applyFont="1" applyFill="1"/>
    <xf numFmtId="0" fontId="3" fillId="0" borderId="4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/>
    </xf>
    <xf numFmtId="0" fontId="5" fillId="0" borderId="10" xfId="1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/>
    </xf>
    <xf numFmtId="0" fontId="11" fillId="10" borderId="0" xfId="0" applyFont="1" applyFill="1"/>
    <xf numFmtId="0" fontId="11" fillId="0" borderId="0" xfId="0" applyFont="1"/>
    <xf numFmtId="0" fontId="9" fillId="0" borderId="0" xfId="0" applyFont="1" applyFill="1"/>
    <xf numFmtId="0" fontId="11" fillId="0" borderId="0" xfId="0" applyFont="1" applyFill="1"/>
    <xf numFmtId="0" fontId="5" fillId="0" borderId="5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67" fontId="11" fillId="0" borderId="1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 wrapText="1"/>
    </xf>
    <xf numFmtId="167" fontId="11" fillId="0" borderId="0" xfId="0" applyNumberFormat="1" applyFont="1" applyBorder="1" applyAlignment="1">
      <alignment horizontal="center" vertical="center"/>
    </xf>
    <xf numFmtId="0" fontId="15" fillId="7" borderId="0" xfId="0" applyFont="1" applyFill="1"/>
    <xf numFmtId="0" fontId="5" fillId="0" borderId="1" xfId="0" applyFont="1" applyBorder="1"/>
    <xf numFmtId="0" fontId="5" fillId="0" borderId="11" xfId="0" applyFont="1" applyBorder="1"/>
    <xf numFmtId="0" fontId="5" fillId="0" borderId="11" xfId="0" applyFont="1" applyBorder="1" applyAlignment="1">
      <alignment horizontal="left" vertical="center" wrapText="1"/>
    </xf>
    <xf numFmtId="167" fontId="5" fillId="0" borderId="10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10" fillId="8" borderId="0" xfId="0" applyFont="1" applyFill="1" applyAlignment="1">
      <alignment vertical="center"/>
    </xf>
    <xf numFmtId="0" fontId="16" fillId="0" borderId="1" xfId="0" applyFont="1" applyBorder="1" applyAlignment="1">
      <alignment vertical="center" wrapText="1"/>
    </xf>
    <xf numFmtId="0" fontId="17" fillId="0" borderId="1" xfId="0" applyFont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167" fontId="5" fillId="0" borderId="10" xfId="0" applyNumberFormat="1" applyFont="1" applyBorder="1" applyAlignment="1">
      <alignment horizontal="center" vertical="center" wrapText="1"/>
    </xf>
    <xf numFmtId="168" fontId="5" fillId="0" borderId="10" xfId="0" applyNumberFormat="1" applyFont="1" applyBorder="1" applyAlignment="1">
      <alignment horizontal="center" vertical="center" wrapText="1"/>
    </xf>
    <xf numFmtId="2" fontId="5" fillId="0" borderId="10" xfId="0" applyNumberFormat="1" applyFont="1" applyBorder="1" applyAlignment="1">
      <alignment horizontal="center" vertical="center" wrapText="1"/>
    </xf>
    <xf numFmtId="16" fontId="5" fillId="0" borderId="11" xfId="0" applyNumberFormat="1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center" wrapText="1"/>
    </xf>
    <xf numFmtId="44" fontId="11" fillId="0" borderId="1" xfId="2" applyFont="1" applyBorder="1" applyAlignment="1">
      <alignment horizontal="center" vertical="center"/>
    </xf>
    <xf numFmtId="0" fontId="10" fillId="0" borderId="1" xfId="0" applyFont="1" applyBorder="1"/>
    <xf numFmtId="2" fontId="10" fillId="0" borderId="1" xfId="0" applyNumberFormat="1" applyFont="1" applyBorder="1"/>
    <xf numFmtId="0" fontId="5" fillId="0" borderId="1" xfId="3" applyFont="1" applyBorder="1" applyAlignment="1">
      <alignment horizontal="center" vertical="center"/>
    </xf>
    <xf numFmtId="0" fontId="3" fillId="0" borderId="3" xfId="3" applyNumberFormat="1" applyFont="1" applyBorder="1" applyAlignment="1">
      <alignment horizontal="center" vertical="center" wrapText="1"/>
    </xf>
    <xf numFmtId="0" fontId="3" fillId="0" borderId="4" xfId="3" applyNumberFormat="1" applyFont="1" applyBorder="1" applyAlignment="1">
      <alignment horizontal="center" vertical="center" wrapText="1"/>
    </xf>
    <xf numFmtId="0" fontId="5" fillId="0" borderId="5" xfId="3" applyFont="1" applyBorder="1" applyAlignment="1">
      <alignment horizontal="center" vertical="center"/>
    </xf>
    <xf numFmtId="0" fontId="5" fillId="0" borderId="9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3" fillId="0" borderId="6" xfId="3" applyFont="1" applyBorder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0" borderId="8" xfId="3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2" fontId="5" fillId="0" borderId="5" xfId="0" applyNumberFormat="1" applyFont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 vertical="center" wrapText="1"/>
    </xf>
    <xf numFmtId="166" fontId="3" fillId="0" borderId="5" xfId="0" applyNumberFormat="1" applyFont="1" applyBorder="1" applyAlignment="1">
      <alignment horizontal="center" vertical="center" wrapText="1"/>
    </xf>
    <xf numFmtId="166" fontId="3" fillId="0" borderId="11" xfId="0" applyNumberFormat="1" applyFont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1" fillId="0" borderId="3" xfId="0" quotePrefix="1" applyFont="1" applyBorder="1" applyAlignment="1">
      <alignment horizontal="left"/>
    </xf>
    <xf numFmtId="0" fontId="11" fillId="0" borderId="6" xfId="0" quotePrefix="1" applyFont="1" applyBorder="1" applyAlignment="1">
      <alignment horizontal="left"/>
    </xf>
    <xf numFmtId="0" fontId="11" fillId="0" borderId="4" xfId="0" quotePrefix="1" applyFont="1" applyBorder="1" applyAlignment="1">
      <alignment horizontal="left"/>
    </xf>
    <xf numFmtId="0" fontId="11" fillId="0" borderId="1" xfId="0" quotePrefix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4">
    <cellStyle name="Milliers" xfId="1" builtinId="3"/>
    <cellStyle name="Monétaire" xfId="2" builtinId="4"/>
    <cellStyle name="Normal" xfId="0" builtinId="0"/>
    <cellStyle name="Normal 2" xfId="3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33</xdr:row>
      <xdr:rowOff>104774</xdr:rowOff>
    </xdr:from>
    <xdr:to>
      <xdr:col>10</xdr:col>
      <xdr:colOff>76200</xdr:colOff>
      <xdr:row>38</xdr:row>
      <xdr:rowOff>190499</xdr:rowOff>
    </xdr:to>
    <xdr:sp macro="" textlink="">
      <xdr:nvSpPr>
        <xdr:cNvPr id="2" name="ZoneTexte 1"/>
        <xdr:cNvSpPr txBox="1"/>
      </xdr:nvSpPr>
      <xdr:spPr>
        <a:xfrm>
          <a:off x="114300" y="10667999"/>
          <a:ext cx="9267825" cy="10382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fr-FR" sz="12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workbookViewId="0">
      <selection activeCell="K7" sqref="K7"/>
    </sheetView>
  </sheetViews>
  <sheetFormatPr baseColWidth="10" defaultRowHeight="12.75" x14ac:dyDescent="0.2"/>
  <cols>
    <col min="1" max="1" width="12.42578125" style="6" customWidth="1"/>
    <col min="2" max="4" width="10.140625" style="12" customWidth="1"/>
    <col min="5" max="5" width="11.28515625" style="12" bestFit="1" customWidth="1"/>
    <col min="6" max="8" width="10.140625" style="12" customWidth="1"/>
    <col min="9" max="10" width="8.5703125" style="12" customWidth="1"/>
    <col min="11" max="16384" width="11.42578125" style="6"/>
  </cols>
  <sheetData>
    <row r="1" spans="1:11" ht="15.75" x14ac:dyDescent="0.25">
      <c r="A1" s="3" t="s">
        <v>0</v>
      </c>
      <c r="B1" s="3"/>
      <c r="C1" s="3"/>
      <c r="D1" s="3"/>
      <c r="E1" s="4"/>
      <c r="F1" s="4"/>
      <c r="G1" s="33"/>
      <c r="H1" s="33"/>
      <c r="I1" s="5"/>
      <c r="J1" s="5"/>
    </row>
    <row r="2" spans="1:11" ht="15.75" x14ac:dyDescent="0.25">
      <c r="A2" s="7" t="s">
        <v>1</v>
      </c>
      <c r="B2" s="8"/>
      <c r="C2" s="5"/>
      <c r="D2" s="5"/>
      <c r="E2" s="5"/>
      <c r="F2" s="5"/>
      <c r="G2" s="5"/>
      <c r="H2" s="5"/>
      <c r="I2" s="5"/>
      <c r="J2" s="5"/>
    </row>
    <row r="3" spans="1:11" ht="15.75" x14ac:dyDescent="0.25">
      <c r="A3" s="5"/>
      <c r="B3" s="5"/>
      <c r="C3" s="5"/>
      <c r="D3" s="5"/>
      <c r="E3" s="5"/>
      <c r="F3" s="5"/>
      <c r="G3" s="5"/>
      <c r="H3" s="5"/>
      <c r="I3" s="5"/>
      <c r="J3" s="5"/>
    </row>
    <row r="4" spans="1:11" ht="15.75" x14ac:dyDescent="0.25">
      <c r="A4" s="9" t="s">
        <v>2</v>
      </c>
      <c r="B4" s="10"/>
      <c r="C4" s="10"/>
      <c r="D4" s="10"/>
      <c r="E4" s="10"/>
      <c r="F4" s="10"/>
      <c r="G4" s="5"/>
      <c r="H4" s="5"/>
      <c r="I4" s="5"/>
      <c r="J4" s="5"/>
    </row>
    <row r="5" spans="1:11" ht="31.5" x14ac:dyDescent="0.2">
      <c r="A5" s="11"/>
      <c r="B5" s="11" t="s">
        <v>3</v>
      </c>
      <c r="C5" s="11" t="s">
        <v>4</v>
      </c>
      <c r="D5" s="11" t="s">
        <v>5</v>
      </c>
      <c r="E5" s="183" t="s">
        <v>6</v>
      </c>
    </row>
    <row r="6" spans="1:11" ht="15.75" x14ac:dyDescent="0.2">
      <c r="A6" s="13" t="s">
        <v>7</v>
      </c>
      <c r="B6" s="14">
        <v>5</v>
      </c>
      <c r="C6" s="15">
        <v>39</v>
      </c>
      <c r="D6" s="16">
        <f>C6*B6</f>
        <v>195</v>
      </c>
      <c r="E6" s="183"/>
    </row>
    <row r="7" spans="1:11" ht="15.75" x14ac:dyDescent="0.2">
      <c r="A7" s="17" t="s">
        <v>8</v>
      </c>
      <c r="B7" s="14">
        <v>20</v>
      </c>
      <c r="C7" s="15">
        <v>40</v>
      </c>
      <c r="D7" s="16">
        <f>C7*B7</f>
        <v>800</v>
      </c>
      <c r="E7" s="14">
        <v>10</v>
      </c>
    </row>
    <row r="8" spans="1:11" ht="15.75" x14ac:dyDescent="0.2">
      <c r="A8" s="17" t="s">
        <v>9</v>
      </c>
      <c r="B8" s="14"/>
      <c r="C8" s="15"/>
      <c r="D8" s="16"/>
      <c r="E8" s="14">
        <v>12</v>
      </c>
    </row>
    <row r="9" spans="1:11" ht="15.75" x14ac:dyDescent="0.2">
      <c r="A9" s="17" t="s">
        <v>10</v>
      </c>
      <c r="B9" s="14">
        <v>50</v>
      </c>
      <c r="C9" s="15">
        <v>38</v>
      </c>
      <c r="D9" s="16">
        <f>C9*B9</f>
        <v>1900</v>
      </c>
      <c r="E9" s="14">
        <v>10</v>
      </c>
    </row>
    <row r="10" spans="1:11" ht="15.75" x14ac:dyDescent="0.2">
      <c r="A10" s="17" t="s">
        <v>11</v>
      </c>
      <c r="B10" s="14"/>
      <c r="C10" s="15"/>
      <c r="D10" s="16"/>
      <c r="E10" s="14">
        <v>11</v>
      </c>
    </row>
    <row r="11" spans="1:11" ht="15.75" x14ac:dyDescent="0.2">
      <c r="A11" s="17" t="s">
        <v>12</v>
      </c>
      <c r="B11" s="18">
        <f>SUM(B7:B10)</f>
        <v>70</v>
      </c>
      <c r="C11" s="19"/>
      <c r="D11" s="20">
        <f>SUM(D7:D10)</f>
        <v>2700</v>
      </c>
      <c r="E11" s="18">
        <f>SUM(E7:E10)</f>
        <v>43</v>
      </c>
    </row>
    <row r="12" spans="1:11" s="21" customFormat="1" x14ac:dyDescent="0.2">
      <c r="B12" s="22"/>
      <c r="C12" s="22"/>
      <c r="D12" s="22"/>
      <c r="E12" s="23"/>
      <c r="F12" s="22"/>
      <c r="G12" s="22"/>
      <c r="H12" s="22"/>
      <c r="I12" s="22"/>
      <c r="J12" s="22"/>
    </row>
    <row r="13" spans="1:11" s="21" customFormat="1" ht="15.75" x14ac:dyDescent="0.25">
      <c r="A13" s="24" t="s">
        <v>13</v>
      </c>
      <c r="B13" s="25"/>
      <c r="C13" s="25"/>
      <c r="D13" s="25"/>
      <c r="E13" s="25"/>
      <c r="F13" s="25"/>
      <c r="G13" s="25"/>
      <c r="H13" s="25"/>
      <c r="I13" s="25"/>
      <c r="J13" s="22"/>
    </row>
    <row r="14" spans="1:11" s="21" customFormat="1" x14ac:dyDescent="0.2">
      <c r="I14" s="22"/>
      <c r="J14" s="22"/>
      <c r="K14" s="22"/>
    </row>
    <row r="15" spans="1:11" s="21" customFormat="1" ht="31.5" customHeight="1" x14ac:dyDescent="0.2">
      <c r="A15" s="26"/>
      <c r="B15" s="27" t="s">
        <v>3</v>
      </c>
      <c r="C15" s="27" t="s">
        <v>4</v>
      </c>
      <c r="D15" s="27" t="s">
        <v>5</v>
      </c>
      <c r="E15" s="11"/>
      <c r="F15" s="27" t="s">
        <v>3</v>
      </c>
      <c r="G15" s="27" t="s">
        <v>4</v>
      </c>
      <c r="H15" s="27" t="s">
        <v>5</v>
      </c>
      <c r="I15" s="22"/>
      <c r="J15" s="22"/>
      <c r="K15" s="22"/>
    </row>
    <row r="16" spans="1:11" s="21" customFormat="1" ht="31.5" customHeight="1" x14ac:dyDescent="0.2">
      <c r="A16" s="19" t="s">
        <v>7</v>
      </c>
      <c r="B16" s="28"/>
      <c r="C16" s="29"/>
      <c r="D16" s="30"/>
      <c r="E16" s="19" t="s">
        <v>6</v>
      </c>
      <c r="F16" s="28"/>
      <c r="G16" s="29"/>
      <c r="H16" s="31"/>
      <c r="I16" s="22"/>
      <c r="J16" s="22"/>
      <c r="K16" s="22"/>
    </row>
    <row r="17" spans="1:11" s="21" customFormat="1" ht="31.5" customHeight="1" x14ac:dyDescent="0.2">
      <c r="A17" s="19" t="s">
        <v>14</v>
      </c>
      <c r="B17" s="28"/>
      <c r="C17" s="26"/>
      <c r="D17" s="30"/>
      <c r="E17" s="19" t="s">
        <v>15</v>
      </c>
      <c r="F17" s="15"/>
      <c r="G17" s="29"/>
      <c r="H17" s="31"/>
      <c r="I17" s="22"/>
      <c r="J17" s="22"/>
      <c r="K17" s="22"/>
    </row>
    <row r="18" spans="1:11" s="21" customFormat="1" ht="31.5" customHeight="1" x14ac:dyDescent="0.2">
      <c r="A18" s="17" t="s">
        <v>12</v>
      </c>
      <c r="B18" s="26"/>
      <c r="C18" s="31"/>
      <c r="D18" s="30"/>
      <c r="E18" s="17" t="s">
        <v>12</v>
      </c>
      <c r="F18" s="32"/>
      <c r="G18" s="29"/>
      <c r="H18" s="31"/>
      <c r="I18" s="22"/>
      <c r="J18" s="22"/>
    </row>
    <row r="19" spans="1:11" s="21" customFormat="1" x14ac:dyDescent="0.2">
      <c r="B19" s="22"/>
      <c r="C19" s="22"/>
      <c r="D19" s="22"/>
      <c r="E19" s="22"/>
      <c r="F19" s="22"/>
      <c r="G19" s="22"/>
      <c r="H19" s="22"/>
      <c r="I19" s="22"/>
      <c r="J19" s="22"/>
    </row>
    <row r="20" spans="1:11" s="21" customFormat="1" x14ac:dyDescent="0.2">
      <c r="B20" s="22"/>
      <c r="C20" s="22"/>
      <c r="D20" s="22"/>
      <c r="E20" s="22"/>
      <c r="F20" s="22"/>
      <c r="G20" s="22"/>
      <c r="H20" s="22"/>
      <c r="I20" s="22"/>
      <c r="J20" s="22"/>
    </row>
    <row r="21" spans="1:11" s="21" customFormat="1" x14ac:dyDescent="0.2">
      <c r="B21" s="22"/>
      <c r="C21" s="22"/>
      <c r="D21" s="22"/>
      <c r="E21" s="23"/>
      <c r="F21" s="22"/>
      <c r="G21" s="22"/>
      <c r="H21" s="22"/>
      <c r="I21" s="22"/>
      <c r="J21" s="22"/>
    </row>
    <row r="22" spans="1:11" s="21" customFormat="1" x14ac:dyDescent="0.2">
      <c r="B22" s="22"/>
      <c r="C22" s="22"/>
      <c r="D22" s="22"/>
      <c r="E22" s="22"/>
      <c r="F22" s="22"/>
      <c r="G22" s="22"/>
      <c r="H22" s="22"/>
      <c r="I22" s="22"/>
      <c r="J22" s="22"/>
    </row>
    <row r="23" spans="1:11" s="21" customFormat="1" x14ac:dyDescent="0.2">
      <c r="B23" s="22"/>
      <c r="C23" s="22"/>
      <c r="D23" s="22"/>
      <c r="E23" s="23"/>
      <c r="F23" s="22"/>
      <c r="G23" s="22"/>
      <c r="H23" s="22"/>
      <c r="I23" s="22"/>
      <c r="J23" s="22"/>
    </row>
    <row r="24" spans="1:11" s="21" customFormat="1" x14ac:dyDescent="0.2">
      <c r="B24" s="22"/>
      <c r="C24" s="22"/>
      <c r="D24" s="22"/>
      <c r="E24" s="22"/>
      <c r="F24" s="22"/>
      <c r="G24" s="22"/>
      <c r="H24" s="22"/>
      <c r="I24" s="22"/>
      <c r="J24" s="22"/>
    </row>
    <row r="25" spans="1:11" s="21" customFormat="1" x14ac:dyDescent="0.2">
      <c r="B25" s="22"/>
      <c r="C25" s="22"/>
      <c r="D25" s="22"/>
      <c r="E25" s="22"/>
      <c r="F25" s="22"/>
      <c r="G25" s="22"/>
      <c r="H25" s="22"/>
      <c r="I25" s="22"/>
      <c r="J25" s="22"/>
    </row>
  </sheetData>
  <mergeCells count="1">
    <mergeCell ref="E5:E6"/>
  </mergeCells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workbookViewId="0">
      <selection activeCell="E10" sqref="E10"/>
    </sheetView>
  </sheetViews>
  <sheetFormatPr baseColWidth="10" defaultRowHeight="15.75" x14ac:dyDescent="0.25"/>
  <cols>
    <col min="1" max="1" width="21.7109375" style="34" customWidth="1"/>
    <col min="2" max="10" width="14.28515625" style="34" customWidth="1"/>
    <col min="11" max="16384" width="11.42578125" style="34"/>
  </cols>
  <sheetData>
    <row r="1" spans="1:8" x14ac:dyDescent="0.25">
      <c r="A1" s="3" t="s">
        <v>0</v>
      </c>
      <c r="B1" s="3"/>
      <c r="C1" s="3"/>
      <c r="D1" s="3"/>
      <c r="E1" s="33"/>
      <c r="F1" s="33"/>
      <c r="G1" s="33"/>
      <c r="H1" s="33"/>
    </row>
    <row r="2" spans="1:8" x14ac:dyDescent="0.25">
      <c r="A2" s="7" t="s">
        <v>16</v>
      </c>
      <c r="B2" s="35"/>
      <c r="C2" s="5"/>
      <c r="D2" s="5"/>
      <c r="E2" s="5"/>
      <c r="F2" s="5"/>
      <c r="G2" s="5"/>
      <c r="H2" s="5"/>
    </row>
    <row r="3" spans="1:8" s="37" customFormat="1" x14ac:dyDescent="0.25">
      <c r="A3" s="36"/>
      <c r="B3" s="36"/>
      <c r="C3" s="33"/>
      <c r="D3" s="33"/>
      <c r="E3" s="33"/>
      <c r="F3" s="33"/>
      <c r="G3" s="33"/>
      <c r="H3" s="33"/>
    </row>
    <row r="4" spans="1:8" s="37" customFormat="1" x14ac:dyDescent="0.25">
      <c r="A4" s="38" t="s">
        <v>17</v>
      </c>
      <c r="G4" s="36"/>
      <c r="H4" s="36"/>
    </row>
    <row r="5" spans="1:8" ht="31.5" x14ac:dyDescent="0.25">
      <c r="A5" s="39"/>
      <c r="B5" s="40" t="s">
        <v>3</v>
      </c>
      <c r="C5" s="40" t="s">
        <v>18</v>
      </c>
      <c r="D5" s="41"/>
      <c r="E5" s="42"/>
      <c r="F5" s="43"/>
      <c r="G5" s="44"/>
      <c r="H5" s="45"/>
    </row>
    <row r="6" spans="1:8" ht="18" customHeight="1" x14ac:dyDescent="0.25">
      <c r="A6" s="46" t="s">
        <v>7</v>
      </c>
      <c r="B6" s="47">
        <v>50</v>
      </c>
      <c r="C6" s="47">
        <v>17.8</v>
      </c>
      <c r="D6" s="41"/>
    </row>
    <row r="7" spans="1:8" ht="18" customHeight="1" x14ac:dyDescent="0.25">
      <c r="A7" s="48"/>
      <c r="B7" s="49"/>
      <c r="C7" s="49"/>
      <c r="D7" s="50"/>
      <c r="E7" s="44"/>
    </row>
    <row r="8" spans="1:8" ht="31.5" x14ac:dyDescent="0.25">
      <c r="A8" s="51" t="s">
        <v>19</v>
      </c>
      <c r="B8" s="32">
        <v>0.5</v>
      </c>
      <c r="C8" s="49"/>
      <c r="D8" s="50"/>
      <c r="E8" s="44"/>
    </row>
    <row r="9" spans="1:8" ht="18" customHeight="1" x14ac:dyDescent="0.25">
      <c r="A9" s="48"/>
      <c r="B9" s="49"/>
      <c r="C9" s="49"/>
      <c r="D9" s="50"/>
      <c r="E9" s="44"/>
    </row>
    <row r="10" spans="1:8" ht="31.5" x14ac:dyDescent="0.25">
      <c r="A10" s="52" t="s">
        <v>20</v>
      </c>
      <c r="B10" s="32">
        <v>25</v>
      </c>
      <c r="C10" s="49"/>
      <c r="D10" s="50"/>
      <c r="E10" s="44"/>
    </row>
    <row r="11" spans="1:8" ht="14.25" customHeight="1" x14ac:dyDescent="0.25">
      <c r="A11" s="48"/>
      <c r="B11" s="49"/>
      <c r="C11" s="49"/>
      <c r="D11" s="50"/>
      <c r="E11" s="44"/>
    </row>
    <row r="12" spans="1:8" s="45" customFormat="1" x14ac:dyDescent="0.25">
      <c r="A12" s="53" t="s">
        <v>21</v>
      </c>
      <c r="B12" s="54"/>
      <c r="C12" s="54"/>
      <c r="D12" s="54"/>
      <c r="E12" s="54"/>
    </row>
    <row r="13" spans="1:8" x14ac:dyDescent="0.25">
      <c r="B13" s="184" t="s">
        <v>14</v>
      </c>
      <c r="C13" s="185"/>
      <c r="D13" s="55" t="s">
        <v>6</v>
      </c>
    </row>
    <row r="14" spans="1:8" ht="31.5" x14ac:dyDescent="0.25">
      <c r="A14" s="50"/>
      <c r="B14" s="40" t="s">
        <v>3</v>
      </c>
      <c r="C14" s="40" t="s">
        <v>18</v>
      </c>
      <c r="D14" s="40" t="s">
        <v>3</v>
      </c>
      <c r="E14" s="45"/>
    </row>
    <row r="15" spans="1:8" x14ac:dyDescent="0.25">
      <c r="A15" s="56" t="s">
        <v>22</v>
      </c>
      <c r="B15" s="47">
        <v>200</v>
      </c>
      <c r="C15" s="47">
        <v>17.5</v>
      </c>
      <c r="D15" s="40">
        <v>90</v>
      </c>
      <c r="E15" s="44"/>
    </row>
    <row r="16" spans="1:8" x14ac:dyDescent="0.25">
      <c r="A16" s="56" t="s">
        <v>23</v>
      </c>
      <c r="B16" s="47"/>
      <c r="C16" s="47"/>
      <c r="D16" s="40">
        <v>110</v>
      </c>
      <c r="E16" s="44"/>
    </row>
    <row r="17" spans="1:11" x14ac:dyDescent="0.25">
      <c r="A17" s="56" t="s">
        <v>24</v>
      </c>
      <c r="B17" s="47">
        <v>300</v>
      </c>
      <c r="C17" s="47">
        <v>17</v>
      </c>
      <c r="D17" s="40">
        <v>106</v>
      </c>
      <c r="E17" s="45"/>
    </row>
    <row r="18" spans="1:11" x14ac:dyDescent="0.25">
      <c r="A18" s="56" t="s">
        <v>25</v>
      </c>
      <c r="B18" s="47"/>
      <c r="C18" s="47"/>
      <c r="D18" s="40">
        <v>114</v>
      </c>
      <c r="E18" s="44"/>
    </row>
    <row r="19" spans="1:11" x14ac:dyDescent="0.25">
      <c r="A19" s="56" t="s">
        <v>26</v>
      </c>
      <c r="B19" s="47"/>
      <c r="C19" s="47"/>
      <c r="D19" s="40">
        <v>100</v>
      </c>
      <c r="E19" s="44"/>
      <c r="K19" s="57"/>
    </row>
    <row r="20" spans="1:11" x14ac:dyDescent="0.25">
      <c r="A20" s="58" t="s">
        <v>27</v>
      </c>
      <c r="B20" s="59">
        <f>SUM(B15:B19)</f>
        <v>500</v>
      </c>
      <c r="C20" s="59"/>
      <c r="D20" s="59">
        <f>SUM(D15:D19)</f>
        <v>520</v>
      </c>
    </row>
    <row r="21" spans="1:11" x14ac:dyDescent="0.25">
      <c r="A21" s="60"/>
      <c r="B21" s="43"/>
      <c r="C21" s="43"/>
      <c r="D21" s="43"/>
    </row>
    <row r="22" spans="1:11" x14ac:dyDescent="0.25">
      <c r="A22" s="61" t="s">
        <v>28</v>
      </c>
      <c r="B22" s="62"/>
      <c r="C22" s="62"/>
      <c r="D22" s="62"/>
    </row>
    <row r="24" spans="1:11" ht="31.5" x14ac:dyDescent="0.25">
      <c r="B24" s="55" t="s">
        <v>29</v>
      </c>
    </row>
    <row r="25" spans="1:11" s="45" customFormat="1" x14ac:dyDescent="0.25">
      <c r="A25" s="46" t="s">
        <v>7</v>
      </c>
      <c r="B25" s="63"/>
      <c r="K25" s="34"/>
    </row>
    <row r="26" spans="1:11" s="45" customFormat="1" x14ac:dyDescent="0.25">
      <c r="A26" s="64" t="s">
        <v>30</v>
      </c>
      <c r="B26" s="63"/>
      <c r="E26" s="65"/>
      <c r="K26" s="34"/>
    </row>
    <row r="27" spans="1:11" s="45" customFormat="1" x14ac:dyDescent="0.25">
      <c r="A27" s="64" t="s">
        <v>31</v>
      </c>
      <c r="B27" s="63"/>
      <c r="K27" s="34"/>
    </row>
    <row r="28" spans="1:11" s="45" customFormat="1" x14ac:dyDescent="0.25">
      <c r="E28" s="65"/>
      <c r="K28" s="34"/>
    </row>
    <row r="29" spans="1:11" s="45" customFormat="1" x14ac:dyDescent="0.25">
      <c r="A29" s="24" t="s">
        <v>32</v>
      </c>
      <c r="B29" s="66"/>
      <c r="C29" s="66"/>
      <c r="D29" s="66"/>
      <c r="E29" s="66"/>
      <c r="F29" s="66"/>
      <c r="G29" s="66"/>
      <c r="H29" s="67"/>
      <c r="K29" s="34"/>
    </row>
    <row r="30" spans="1:11" s="45" customFormat="1" x14ac:dyDescent="0.25">
      <c r="A30" s="186" t="s">
        <v>33</v>
      </c>
      <c r="B30" s="188" t="s">
        <v>14</v>
      </c>
      <c r="C30" s="189"/>
      <c r="D30" s="190"/>
      <c r="E30" s="191" t="s">
        <v>6</v>
      </c>
      <c r="F30" s="189"/>
      <c r="G30" s="190"/>
      <c r="H30" s="191" t="s">
        <v>34</v>
      </c>
      <c r="I30" s="189"/>
      <c r="J30" s="190"/>
      <c r="K30" s="34"/>
    </row>
    <row r="31" spans="1:11" x14ac:dyDescent="0.25">
      <c r="A31" s="187"/>
      <c r="B31" s="68" t="s">
        <v>3</v>
      </c>
      <c r="C31" s="68" t="s">
        <v>4</v>
      </c>
      <c r="D31" s="68" t="s">
        <v>5</v>
      </c>
      <c r="E31" s="68" t="s">
        <v>3</v>
      </c>
      <c r="F31" s="68" t="s">
        <v>4</v>
      </c>
      <c r="G31" s="68" t="s">
        <v>5</v>
      </c>
      <c r="H31" s="68" t="s">
        <v>3</v>
      </c>
      <c r="I31" s="68" t="s">
        <v>4</v>
      </c>
      <c r="J31" s="68" t="s">
        <v>5</v>
      </c>
    </row>
    <row r="32" spans="1:11" ht="21" customHeight="1" x14ac:dyDescent="0.25">
      <c r="A32" s="69" t="s">
        <v>7</v>
      </c>
      <c r="B32" s="70"/>
      <c r="C32" s="71"/>
      <c r="D32" s="71"/>
      <c r="E32" s="71"/>
      <c r="F32" s="71"/>
      <c r="G32" s="71"/>
      <c r="H32" s="71"/>
      <c r="I32" s="72"/>
      <c r="J32" s="72"/>
    </row>
    <row r="33" spans="1:10" ht="21" customHeight="1" x14ac:dyDescent="0.25">
      <c r="A33" s="19" t="s">
        <v>22</v>
      </c>
      <c r="B33" s="71"/>
      <c r="C33" s="72"/>
      <c r="D33" s="72"/>
      <c r="E33" s="71"/>
      <c r="F33" s="72"/>
      <c r="G33" s="72"/>
      <c r="H33" s="71"/>
      <c r="I33" s="72"/>
      <c r="J33" s="72"/>
    </row>
    <row r="34" spans="1:10" ht="21" customHeight="1" x14ac:dyDescent="0.25">
      <c r="A34" s="73" t="s">
        <v>23</v>
      </c>
      <c r="B34" s="71"/>
      <c r="C34" s="72"/>
      <c r="D34" s="72"/>
      <c r="E34" s="71"/>
      <c r="F34" s="72"/>
      <c r="G34" s="72"/>
      <c r="H34" s="71"/>
      <c r="I34" s="72"/>
      <c r="J34" s="72"/>
    </row>
    <row r="35" spans="1:10" ht="21" customHeight="1" x14ac:dyDescent="0.25">
      <c r="A35" s="73" t="s">
        <v>24</v>
      </c>
      <c r="B35" s="71"/>
      <c r="C35" s="72"/>
      <c r="D35" s="72"/>
      <c r="E35" s="71"/>
      <c r="F35" s="72"/>
      <c r="G35" s="72"/>
      <c r="H35" s="71"/>
      <c r="I35" s="72"/>
      <c r="J35" s="72"/>
    </row>
    <row r="36" spans="1:10" ht="21" customHeight="1" x14ac:dyDescent="0.25">
      <c r="A36" s="73" t="s">
        <v>25</v>
      </c>
      <c r="B36" s="71"/>
      <c r="C36" s="72"/>
      <c r="D36" s="72"/>
      <c r="E36" s="71"/>
      <c r="F36" s="72"/>
      <c r="G36" s="72"/>
      <c r="H36" s="71"/>
      <c r="I36" s="72"/>
      <c r="J36" s="72"/>
    </row>
    <row r="37" spans="1:10" ht="21" customHeight="1" x14ac:dyDescent="0.25">
      <c r="A37" s="73" t="s">
        <v>26</v>
      </c>
      <c r="B37" s="71"/>
      <c r="C37" s="72"/>
      <c r="D37" s="72"/>
      <c r="E37" s="71"/>
      <c r="F37" s="72"/>
      <c r="G37" s="72"/>
      <c r="H37" s="71"/>
      <c r="I37" s="72"/>
      <c r="J37" s="72"/>
    </row>
    <row r="39" spans="1:10" x14ac:dyDescent="0.25">
      <c r="A39" s="24" t="s">
        <v>35</v>
      </c>
      <c r="B39" s="66"/>
      <c r="C39" s="66"/>
      <c r="D39" s="66"/>
      <c r="E39" s="66"/>
      <c r="F39" s="66"/>
    </row>
    <row r="40" spans="1:10" x14ac:dyDescent="0.25">
      <c r="E40" s="11" t="s">
        <v>3</v>
      </c>
      <c r="F40" s="11" t="s">
        <v>4</v>
      </c>
      <c r="G40" s="11" t="s">
        <v>5</v>
      </c>
    </row>
    <row r="41" spans="1:10" ht="19.5" customHeight="1" x14ac:dyDescent="0.25">
      <c r="A41" s="74" t="s">
        <v>36</v>
      </c>
      <c r="B41" s="75"/>
      <c r="C41" s="75"/>
      <c r="D41" s="76"/>
      <c r="E41" s="32"/>
      <c r="F41" s="77"/>
      <c r="G41" s="78"/>
    </row>
    <row r="42" spans="1:10" ht="19.5" customHeight="1" x14ac:dyDescent="0.25">
      <c r="A42" s="74" t="s">
        <v>37</v>
      </c>
      <c r="B42" s="75"/>
      <c r="C42" s="75"/>
      <c r="D42" s="76"/>
      <c r="E42" s="32"/>
      <c r="F42" s="77"/>
      <c r="G42" s="78"/>
    </row>
  </sheetData>
  <mergeCells count="5">
    <mergeCell ref="B13:C13"/>
    <mergeCell ref="A30:A31"/>
    <mergeCell ref="B30:D30"/>
    <mergeCell ref="E30:G30"/>
    <mergeCell ref="H30:J30"/>
  </mergeCells>
  <pageMargins left="0.78740157499999996" right="0.78740157499999996" top="0.984251969" bottom="0.984251969" header="0.4921259845" footer="0.4921259845"/>
  <pageSetup paperSize="9" orientation="portrait" horizont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workbookViewId="0">
      <selection activeCell="H7" sqref="H7"/>
    </sheetView>
  </sheetViews>
  <sheetFormatPr baseColWidth="10" defaultRowHeight="15" x14ac:dyDescent="0.25"/>
  <cols>
    <col min="1" max="1" width="11.42578125" style="81"/>
    <col min="2" max="3" width="14.28515625" style="81" customWidth="1"/>
    <col min="4" max="9" width="11.42578125" style="81"/>
    <col min="10" max="10" width="12.28515625" style="81" customWidth="1"/>
    <col min="11" max="16384" width="11.42578125" style="81"/>
  </cols>
  <sheetData>
    <row r="1" spans="1:10" ht="15.75" x14ac:dyDescent="0.25">
      <c r="A1" s="1" t="s">
        <v>0</v>
      </c>
      <c r="B1" s="79"/>
      <c r="C1" s="79"/>
      <c r="D1" s="79"/>
      <c r="E1" s="79"/>
      <c r="F1" s="80"/>
      <c r="G1" s="80"/>
    </row>
    <row r="2" spans="1:10" ht="15.75" x14ac:dyDescent="0.25">
      <c r="A2" s="82" t="s">
        <v>38</v>
      </c>
      <c r="B2" s="83"/>
      <c r="C2" s="83"/>
      <c r="D2" s="83"/>
    </row>
    <row r="3" spans="1:10" ht="15.75" x14ac:dyDescent="0.25">
      <c r="A3" s="84" t="s">
        <v>120</v>
      </c>
      <c r="B3" s="85"/>
      <c r="C3" s="85"/>
      <c r="D3" s="85"/>
      <c r="E3" s="86"/>
    </row>
    <row r="4" spans="1:10" ht="15.75" x14ac:dyDescent="0.25">
      <c r="B4" s="87" t="s">
        <v>39</v>
      </c>
      <c r="C4" s="87" t="s">
        <v>4</v>
      </c>
      <c r="E4" s="193" t="s">
        <v>40</v>
      </c>
      <c r="F4" s="194"/>
    </row>
    <row r="5" spans="1:10" ht="31.5" x14ac:dyDescent="0.25">
      <c r="A5" s="88" t="s">
        <v>7</v>
      </c>
      <c r="B5" s="87">
        <v>10</v>
      </c>
      <c r="C5" s="89">
        <v>9</v>
      </c>
      <c r="E5" s="87" t="s">
        <v>41</v>
      </c>
      <c r="F5" s="87" t="s">
        <v>39</v>
      </c>
    </row>
    <row r="6" spans="1:10" ht="15.75" x14ac:dyDescent="0.25">
      <c r="E6" s="90">
        <v>44481</v>
      </c>
      <c r="F6" s="87">
        <v>14</v>
      </c>
    </row>
    <row r="7" spans="1:10" ht="15.75" x14ac:dyDescent="0.25">
      <c r="A7" s="195" t="s">
        <v>14</v>
      </c>
      <c r="B7" s="195"/>
      <c r="C7" s="195"/>
      <c r="E7" s="90">
        <v>44482</v>
      </c>
      <c r="F7" s="87">
        <v>10</v>
      </c>
    </row>
    <row r="8" spans="1:10" ht="15.75" x14ac:dyDescent="0.25">
      <c r="A8" s="87" t="s">
        <v>41</v>
      </c>
      <c r="B8" s="87" t="s">
        <v>39</v>
      </c>
      <c r="C8" s="87" t="s">
        <v>4</v>
      </c>
      <c r="E8" s="90">
        <v>44483</v>
      </c>
      <c r="F8" s="87">
        <v>12</v>
      </c>
    </row>
    <row r="9" spans="1:10" ht="15.75" x14ac:dyDescent="0.25">
      <c r="A9" s="91"/>
      <c r="B9" s="87">
        <v>10</v>
      </c>
      <c r="C9" s="89">
        <v>9</v>
      </c>
      <c r="E9" s="90">
        <v>44484</v>
      </c>
      <c r="F9" s="87">
        <v>22</v>
      </c>
    </row>
    <row r="10" spans="1:10" ht="15.75" x14ac:dyDescent="0.25">
      <c r="A10" s="90">
        <v>44481</v>
      </c>
      <c r="B10" s="87">
        <v>30</v>
      </c>
      <c r="C10" s="89">
        <v>9.1999999999999993</v>
      </c>
      <c r="E10" s="90">
        <v>44485</v>
      </c>
      <c r="F10" s="87">
        <v>23</v>
      </c>
    </row>
    <row r="11" spans="1:10" ht="15.75" x14ac:dyDescent="0.25">
      <c r="A11" s="90">
        <v>44483</v>
      </c>
      <c r="B11" s="87">
        <v>40</v>
      </c>
      <c r="C11" s="89">
        <v>9.8000000000000007</v>
      </c>
      <c r="E11" s="90">
        <v>44486</v>
      </c>
      <c r="F11" s="87">
        <v>32</v>
      </c>
    </row>
    <row r="12" spans="1:10" ht="15.75" x14ac:dyDescent="0.25">
      <c r="A12" s="90">
        <v>44485</v>
      </c>
      <c r="B12" s="87">
        <v>36</v>
      </c>
      <c r="C12" s="89">
        <v>8.9</v>
      </c>
    </row>
    <row r="13" spans="1:10" ht="15.75" x14ac:dyDescent="0.25">
      <c r="D13" s="92"/>
    </row>
    <row r="14" spans="1:10" ht="15.75" x14ac:dyDescent="0.25">
      <c r="A14" s="93" t="s">
        <v>42</v>
      </c>
      <c r="B14" s="94"/>
      <c r="C14" s="94"/>
      <c r="D14" s="95"/>
      <c r="E14" s="94"/>
      <c r="F14" s="94"/>
      <c r="G14" s="94"/>
      <c r="H14" s="80"/>
    </row>
    <row r="15" spans="1:10" ht="15.75" x14ac:dyDescent="0.25">
      <c r="A15" s="196" t="s">
        <v>41</v>
      </c>
      <c r="B15" s="192" t="s">
        <v>43</v>
      </c>
      <c r="C15" s="192"/>
      <c r="D15" s="192"/>
      <c r="E15" s="192" t="s">
        <v>44</v>
      </c>
      <c r="F15" s="192"/>
      <c r="G15" s="192"/>
      <c r="H15" s="192" t="s">
        <v>45</v>
      </c>
      <c r="I15" s="192"/>
      <c r="J15" s="192"/>
    </row>
    <row r="16" spans="1:10" ht="31.5" x14ac:dyDescent="0.25">
      <c r="A16" s="197"/>
      <c r="B16" s="96" t="s">
        <v>39</v>
      </c>
      <c r="C16" s="96" t="s">
        <v>4</v>
      </c>
      <c r="D16" s="96" t="s">
        <v>5</v>
      </c>
      <c r="E16" s="96" t="s">
        <v>39</v>
      </c>
      <c r="F16" s="96" t="s">
        <v>4</v>
      </c>
      <c r="G16" s="96" t="s">
        <v>5</v>
      </c>
      <c r="H16" s="96" t="s">
        <v>39</v>
      </c>
      <c r="I16" s="96" t="s">
        <v>4</v>
      </c>
      <c r="J16" s="96" t="s">
        <v>5</v>
      </c>
    </row>
    <row r="17" spans="1:10" ht="18" customHeight="1" x14ac:dyDescent="0.25">
      <c r="A17" s="97" t="s">
        <v>7</v>
      </c>
      <c r="B17" s="88"/>
      <c r="C17" s="88"/>
      <c r="D17" s="88"/>
      <c r="E17" s="88"/>
      <c r="F17" s="88"/>
      <c r="G17" s="88"/>
      <c r="H17" s="87"/>
      <c r="I17" s="89"/>
      <c r="J17" s="89"/>
    </row>
    <row r="18" spans="1:10" ht="18" customHeight="1" x14ac:dyDescent="0.25">
      <c r="A18" s="200">
        <v>44481</v>
      </c>
      <c r="B18" s="196"/>
      <c r="C18" s="198"/>
      <c r="D18" s="198"/>
      <c r="E18" s="87"/>
      <c r="F18" s="89"/>
      <c r="G18" s="89"/>
      <c r="H18" s="196"/>
      <c r="I18" s="198"/>
      <c r="J18" s="198"/>
    </row>
    <row r="19" spans="1:10" ht="18" customHeight="1" x14ac:dyDescent="0.25">
      <c r="A19" s="201"/>
      <c r="B19" s="197"/>
      <c r="C19" s="199"/>
      <c r="D19" s="199"/>
      <c r="E19" s="87"/>
      <c r="F19" s="89"/>
      <c r="G19" s="89"/>
      <c r="H19" s="197"/>
      <c r="I19" s="199"/>
      <c r="J19" s="199"/>
    </row>
    <row r="20" spans="1:10" ht="18" customHeight="1" x14ac:dyDescent="0.25">
      <c r="A20" s="98">
        <v>44482</v>
      </c>
      <c r="B20" s="87"/>
      <c r="C20" s="99"/>
      <c r="D20" s="99"/>
      <c r="E20" s="87"/>
      <c r="F20" s="89"/>
      <c r="G20" s="89"/>
      <c r="H20" s="87"/>
      <c r="I20" s="89"/>
      <c r="J20" s="89"/>
    </row>
    <row r="21" spans="1:10" ht="18" customHeight="1" x14ac:dyDescent="0.25">
      <c r="A21" s="202">
        <v>44483</v>
      </c>
      <c r="B21" s="195"/>
      <c r="C21" s="198"/>
      <c r="D21" s="198"/>
      <c r="E21" s="87"/>
      <c r="F21" s="89"/>
      <c r="G21" s="89"/>
      <c r="H21" s="87"/>
      <c r="I21" s="89"/>
      <c r="J21" s="89"/>
    </row>
    <row r="22" spans="1:10" ht="18" customHeight="1" x14ac:dyDescent="0.25">
      <c r="A22" s="202"/>
      <c r="B22" s="195"/>
      <c r="C22" s="199"/>
      <c r="D22" s="199"/>
      <c r="E22" s="100"/>
      <c r="F22" s="100"/>
      <c r="G22" s="100"/>
      <c r="H22" s="100"/>
      <c r="I22" s="101"/>
      <c r="J22" s="101"/>
    </row>
    <row r="23" spans="1:10" ht="18" customHeight="1" x14ac:dyDescent="0.25">
      <c r="A23" s="200">
        <v>44484</v>
      </c>
      <c r="B23" s="196"/>
      <c r="C23" s="198"/>
      <c r="D23" s="198"/>
      <c r="E23" s="87"/>
      <c r="F23" s="89"/>
      <c r="G23" s="89"/>
      <c r="H23" s="196"/>
      <c r="I23" s="198"/>
      <c r="J23" s="198"/>
    </row>
    <row r="24" spans="1:10" ht="18" customHeight="1" x14ac:dyDescent="0.25">
      <c r="A24" s="201"/>
      <c r="B24" s="197"/>
      <c r="C24" s="199"/>
      <c r="D24" s="199"/>
      <c r="E24" s="87"/>
      <c r="F24" s="89"/>
      <c r="G24" s="89"/>
      <c r="H24" s="197"/>
      <c r="I24" s="199"/>
      <c r="J24" s="199"/>
    </row>
    <row r="25" spans="1:10" ht="18" customHeight="1" x14ac:dyDescent="0.25">
      <c r="A25" s="200">
        <v>44485</v>
      </c>
      <c r="B25" s="196"/>
      <c r="C25" s="198"/>
      <c r="D25" s="198"/>
      <c r="E25" s="87"/>
      <c r="F25" s="89"/>
      <c r="G25" s="89"/>
      <c r="H25" s="196"/>
      <c r="I25" s="198"/>
      <c r="J25" s="198"/>
    </row>
    <row r="26" spans="1:10" ht="18" customHeight="1" x14ac:dyDescent="0.25">
      <c r="A26" s="201"/>
      <c r="B26" s="197"/>
      <c r="C26" s="199"/>
      <c r="D26" s="199"/>
      <c r="E26" s="87"/>
      <c r="F26" s="89"/>
      <c r="G26" s="89"/>
      <c r="H26" s="197"/>
      <c r="I26" s="199"/>
      <c r="J26" s="199"/>
    </row>
    <row r="27" spans="1:10" ht="18" customHeight="1" x14ac:dyDescent="0.25">
      <c r="A27" s="98">
        <v>44486</v>
      </c>
      <c r="B27" s="87"/>
      <c r="C27" s="88"/>
      <c r="D27" s="102"/>
      <c r="E27" s="87"/>
      <c r="F27" s="89"/>
      <c r="G27" s="89"/>
      <c r="H27" s="87"/>
      <c r="I27" s="89"/>
      <c r="J27" s="107"/>
    </row>
    <row r="28" spans="1:10" ht="18" customHeight="1" x14ac:dyDescent="0.25">
      <c r="A28" s="103" t="s">
        <v>12</v>
      </c>
      <c r="B28" s="104"/>
      <c r="C28" s="104"/>
      <c r="D28" s="105"/>
      <c r="E28" s="104"/>
      <c r="F28" s="104"/>
      <c r="G28" s="105"/>
      <c r="H28" s="106"/>
      <c r="I28" s="107"/>
      <c r="J28" s="108"/>
    </row>
    <row r="31" spans="1:10" x14ac:dyDescent="0.25">
      <c r="A31" s="109" t="s">
        <v>46</v>
      </c>
      <c r="B31" s="94"/>
      <c r="C31" s="94"/>
      <c r="D31" s="94"/>
      <c r="E31" s="94"/>
      <c r="F31" s="94"/>
      <c r="G31" s="94"/>
      <c r="H31" s="94"/>
      <c r="I31" s="94"/>
    </row>
    <row r="33" spans="1:11" ht="15.75" x14ac:dyDescent="0.25">
      <c r="A33" s="203" t="s">
        <v>47</v>
      </c>
      <c r="B33" s="204"/>
      <c r="C33" s="205"/>
      <c r="D33" s="206" t="s">
        <v>48</v>
      </c>
      <c r="E33" s="207"/>
      <c r="F33" s="207"/>
      <c r="G33" s="207"/>
      <c r="H33" s="207"/>
      <c r="I33" s="207"/>
      <c r="J33" s="208"/>
      <c r="K33" s="181"/>
    </row>
    <row r="34" spans="1:11" ht="15.75" x14ac:dyDescent="0.25">
      <c r="A34" s="203" t="s">
        <v>49</v>
      </c>
      <c r="B34" s="204"/>
      <c r="C34" s="205"/>
      <c r="D34" s="209" t="s">
        <v>50</v>
      </c>
      <c r="E34" s="210"/>
      <c r="F34" s="210"/>
      <c r="G34" s="210"/>
      <c r="H34" s="210"/>
      <c r="I34" s="210"/>
      <c r="J34" s="210"/>
      <c r="K34" s="182"/>
    </row>
  </sheetData>
  <mergeCells count="35">
    <mergeCell ref="A33:C33"/>
    <mergeCell ref="D33:J33"/>
    <mergeCell ref="A34:C34"/>
    <mergeCell ref="D34:J34"/>
    <mergeCell ref="I23:I24"/>
    <mergeCell ref="J23:J24"/>
    <mergeCell ref="A25:A26"/>
    <mergeCell ref="B25:B26"/>
    <mergeCell ref="C25:C26"/>
    <mergeCell ref="D25:D26"/>
    <mergeCell ref="H25:H26"/>
    <mergeCell ref="I25:I26"/>
    <mergeCell ref="J25:J26"/>
    <mergeCell ref="A23:A24"/>
    <mergeCell ref="B23:B24"/>
    <mergeCell ref="C23:C24"/>
    <mergeCell ref="J18:J19"/>
    <mergeCell ref="A21:A22"/>
    <mergeCell ref="B21:B22"/>
    <mergeCell ref="C21:C22"/>
    <mergeCell ref="D21:D22"/>
    <mergeCell ref="I18:I19"/>
    <mergeCell ref="D23:D24"/>
    <mergeCell ref="H23:H24"/>
    <mergeCell ref="A18:A19"/>
    <mergeCell ref="B18:B19"/>
    <mergeCell ref="C18:C19"/>
    <mergeCell ref="D18:D19"/>
    <mergeCell ref="H18:H19"/>
    <mergeCell ref="H15:J15"/>
    <mergeCell ref="E4:F4"/>
    <mergeCell ref="A7:C7"/>
    <mergeCell ref="A15:A16"/>
    <mergeCell ref="B15:D15"/>
    <mergeCell ref="E15:G15"/>
  </mergeCell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G23" sqref="G23"/>
    </sheetView>
  </sheetViews>
  <sheetFormatPr baseColWidth="10" defaultRowHeight="15" x14ac:dyDescent="0.25"/>
  <cols>
    <col min="1" max="1" width="22.5703125" style="81" customWidth="1"/>
    <col min="2" max="4" width="13.5703125" style="81" customWidth="1"/>
    <col min="5" max="5" width="22.140625" style="81" customWidth="1"/>
    <col min="6" max="8" width="13.5703125" style="81" customWidth="1"/>
    <col min="9" max="16384" width="11.42578125" style="81"/>
  </cols>
  <sheetData>
    <row r="1" spans="1:8" ht="15.75" x14ac:dyDescent="0.25">
      <c r="A1" s="1" t="s">
        <v>0</v>
      </c>
      <c r="B1" s="110"/>
      <c r="C1" s="110"/>
      <c r="D1" s="110"/>
      <c r="E1" s="111"/>
      <c r="F1" s="112"/>
    </row>
    <row r="2" spans="1:8" ht="15.75" x14ac:dyDescent="0.25">
      <c r="A2" s="82" t="s">
        <v>51</v>
      </c>
      <c r="B2" s="83"/>
      <c r="C2" s="83"/>
      <c r="D2" s="83"/>
      <c r="E2" s="113"/>
    </row>
    <row r="3" spans="1:8" ht="15.75" x14ac:dyDescent="0.25">
      <c r="A3" s="2"/>
      <c r="B3" s="83"/>
      <c r="C3" s="83"/>
      <c r="D3" s="83"/>
      <c r="E3" s="113"/>
    </row>
    <row r="4" spans="1:8" ht="15.75" x14ac:dyDescent="0.25">
      <c r="A4" s="114" t="s">
        <v>52</v>
      </c>
      <c r="B4" s="83"/>
      <c r="C4" s="83"/>
      <c r="D4" s="83"/>
      <c r="E4" s="113"/>
    </row>
    <row r="5" spans="1:8" ht="31.5" x14ac:dyDescent="0.25">
      <c r="A5" s="115" t="s">
        <v>53</v>
      </c>
      <c r="B5" s="100">
        <v>28</v>
      </c>
      <c r="C5" s="83"/>
      <c r="D5" s="83"/>
      <c r="E5" s="113"/>
    </row>
    <row r="6" spans="1:8" ht="15.75" x14ac:dyDescent="0.25">
      <c r="A6" s="2"/>
      <c r="B6" s="83"/>
      <c r="C6" s="83"/>
      <c r="D6" s="83"/>
      <c r="E6" s="113"/>
    </row>
    <row r="7" spans="1:8" ht="15.75" x14ac:dyDescent="0.25">
      <c r="A7" s="84" t="s">
        <v>54</v>
      </c>
      <c r="B7" s="85"/>
      <c r="C7" s="85"/>
      <c r="D7" s="85"/>
      <c r="E7" s="86"/>
    </row>
    <row r="8" spans="1:8" ht="15.75" x14ac:dyDescent="0.25">
      <c r="A8" s="211"/>
      <c r="B8" s="212"/>
      <c r="C8" s="116" t="s">
        <v>8</v>
      </c>
      <c r="D8" s="106" t="s">
        <v>8</v>
      </c>
      <c r="E8" s="106" t="s">
        <v>10</v>
      </c>
      <c r="F8" s="106" t="s">
        <v>10</v>
      </c>
    </row>
    <row r="9" spans="1:8" ht="15.75" x14ac:dyDescent="0.25">
      <c r="A9" s="213" t="s">
        <v>7</v>
      </c>
      <c r="B9" s="117" t="s">
        <v>39</v>
      </c>
      <c r="C9" s="87">
        <v>10</v>
      </c>
      <c r="D9" s="87"/>
      <c r="E9" s="87"/>
      <c r="F9" s="87"/>
    </row>
    <row r="10" spans="1:8" ht="15.75" x14ac:dyDescent="0.25">
      <c r="A10" s="214"/>
      <c r="B10" s="117" t="s">
        <v>4</v>
      </c>
      <c r="C10" s="87">
        <v>14</v>
      </c>
      <c r="D10" s="87"/>
      <c r="E10" s="87"/>
      <c r="F10" s="87"/>
    </row>
    <row r="11" spans="1:8" ht="15.75" x14ac:dyDescent="0.25">
      <c r="A11" s="213" t="s">
        <v>14</v>
      </c>
      <c r="B11" s="117" t="s">
        <v>39</v>
      </c>
      <c r="C11" s="87">
        <v>30</v>
      </c>
      <c r="D11" s="87"/>
      <c r="E11" s="87">
        <v>80</v>
      </c>
      <c r="F11" s="118"/>
    </row>
    <row r="12" spans="1:8" ht="15.75" x14ac:dyDescent="0.25">
      <c r="A12" s="214"/>
      <c r="B12" s="117" t="s">
        <v>4</v>
      </c>
      <c r="C12" s="87">
        <v>14.2</v>
      </c>
      <c r="D12" s="87"/>
      <c r="E12" s="87">
        <v>13.25</v>
      </c>
      <c r="F12" s="87"/>
    </row>
    <row r="13" spans="1:8" ht="15.75" x14ac:dyDescent="0.25">
      <c r="A13" s="106" t="s">
        <v>6</v>
      </c>
      <c r="B13" s="117" t="s">
        <v>39</v>
      </c>
      <c r="C13" s="87">
        <v>14</v>
      </c>
      <c r="D13" s="87">
        <v>10</v>
      </c>
      <c r="E13" s="87">
        <v>30</v>
      </c>
      <c r="F13" s="87">
        <v>35</v>
      </c>
    </row>
    <row r="15" spans="1:8" ht="15.75" x14ac:dyDescent="0.25">
      <c r="A15" s="93" t="s">
        <v>55</v>
      </c>
      <c r="B15" s="94"/>
      <c r="C15" s="94"/>
      <c r="D15" s="94"/>
      <c r="E15" s="94"/>
      <c r="F15" s="94"/>
      <c r="G15" s="80"/>
    </row>
    <row r="16" spans="1:8" ht="15.75" x14ac:dyDescent="0.25">
      <c r="A16" s="119"/>
      <c r="B16" s="120" t="s">
        <v>39</v>
      </c>
      <c r="C16" s="120" t="s">
        <v>4</v>
      </c>
      <c r="D16" s="120" t="s">
        <v>5</v>
      </c>
      <c r="E16" s="121"/>
      <c r="F16" s="120" t="s">
        <v>39</v>
      </c>
      <c r="G16" s="120" t="s">
        <v>4</v>
      </c>
      <c r="H16" s="120" t="s">
        <v>5</v>
      </c>
    </row>
    <row r="17" spans="1:8" ht="24.75" customHeight="1" x14ac:dyDescent="0.25">
      <c r="A17" s="122" t="s">
        <v>7</v>
      </c>
      <c r="B17" s="123"/>
      <c r="C17" s="123"/>
      <c r="D17" s="123"/>
      <c r="E17" s="124" t="s">
        <v>6</v>
      </c>
      <c r="F17" s="125"/>
      <c r="G17" s="125"/>
      <c r="H17" s="123"/>
    </row>
    <row r="18" spans="1:8" ht="24.75" customHeight="1" x14ac:dyDescent="0.25">
      <c r="A18" s="122" t="s">
        <v>14</v>
      </c>
      <c r="B18" s="125"/>
      <c r="C18" s="125"/>
      <c r="D18" s="125"/>
      <c r="E18" s="126" t="s">
        <v>56</v>
      </c>
      <c r="F18" s="125"/>
      <c r="G18" s="127"/>
      <c r="H18" s="125"/>
    </row>
    <row r="19" spans="1:8" ht="24.75" customHeight="1" x14ac:dyDescent="0.25">
      <c r="A19" s="122" t="s">
        <v>12</v>
      </c>
      <c r="B19" s="125"/>
      <c r="C19" s="128"/>
      <c r="D19" s="125"/>
      <c r="E19" s="124" t="s">
        <v>12</v>
      </c>
      <c r="F19" s="125"/>
      <c r="G19" s="127"/>
      <c r="H19" s="125"/>
    </row>
    <row r="21" spans="1:8" ht="15.75" x14ac:dyDescent="0.25">
      <c r="A21" s="129" t="s">
        <v>57</v>
      </c>
      <c r="B21" s="130"/>
      <c r="C21" s="130"/>
      <c r="D21" s="130"/>
      <c r="E21" s="80"/>
    </row>
    <row r="22" spans="1:8" ht="15.75" x14ac:dyDescent="0.25">
      <c r="A22" s="131"/>
      <c r="B22" s="132" t="s">
        <v>3</v>
      </c>
      <c r="C22" s="132" t="s">
        <v>4</v>
      </c>
      <c r="D22" s="132" t="s">
        <v>5</v>
      </c>
    </row>
    <row r="23" spans="1:8" ht="27" customHeight="1" x14ac:dyDescent="0.25">
      <c r="A23" s="133" t="s">
        <v>58</v>
      </c>
      <c r="B23" s="134"/>
      <c r="C23" s="134"/>
      <c r="D23" s="134"/>
    </row>
    <row r="24" spans="1:8" ht="27" customHeight="1" x14ac:dyDescent="0.25">
      <c r="A24" s="133" t="s">
        <v>59</v>
      </c>
      <c r="B24" s="134"/>
      <c r="C24" s="134"/>
      <c r="D24" s="134"/>
    </row>
    <row r="25" spans="1:8" ht="32.25" customHeight="1" x14ac:dyDescent="0.25">
      <c r="A25" s="135" t="s">
        <v>60</v>
      </c>
      <c r="B25" s="134"/>
      <c r="C25" s="134"/>
      <c r="D25" s="134"/>
    </row>
  </sheetData>
  <mergeCells count="3">
    <mergeCell ref="A8:B8"/>
    <mergeCell ref="A9:A10"/>
    <mergeCell ref="A11:A12"/>
  </mergeCells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topLeftCell="A10" workbookViewId="0">
      <selection activeCell="I31" sqref="I31"/>
    </sheetView>
  </sheetViews>
  <sheetFormatPr baseColWidth="10" defaultRowHeight="15" x14ac:dyDescent="0.25"/>
  <cols>
    <col min="1" max="1" width="19.5703125" style="81" customWidth="1"/>
    <col min="2" max="4" width="13.5703125" style="81" customWidth="1"/>
    <col min="5" max="5" width="15.7109375" style="81" customWidth="1"/>
    <col min="6" max="8" width="13.5703125" style="81" customWidth="1"/>
    <col min="9" max="16384" width="11.42578125" style="81"/>
  </cols>
  <sheetData>
    <row r="1" spans="1:10" ht="15.75" x14ac:dyDescent="0.25">
      <c r="A1" s="1" t="s">
        <v>0</v>
      </c>
      <c r="B1" s="110"/>
      <c r="C1" s="110"/>
      <c r="D1" s="110"/>
      <c r="E1" s="110"/>
      <c r="F1" s="112"/>
    </row>
    <row r="2" spans="1:10" ht="15.75" x14ac:dyDescent="0.25">
      <c r="A2" s="82" t="s">
        <v>61</v>
      </c>
      <c r="B2" s="83"/>
      <c r="C2" s="83"/>
      <c r="D2" s="83"/>
      <c r="E2" s="113"/>
    </row>
    <row r="3" spans="1:10" ht="15.75" x14ac:dyDescent="0.25">
      <c r="A3" s="84" t="s">
        <v>62</v>
      </c>
      <c r="B3" s="85"/>
      <c r="C3" s="85"/>
      <c r="D3" s="85"/>
      <c r="E3" s="86"/>
      <c r="G3" s="84" t="s">
        <v>63</v>
      </c>
      <c r="H3" s="86"/>
      <c r="I3" s="86"/>
      <c r="J3" s="86"/>
    </row>
    <row r="4" spans="1:10" ht="31.5" x14ac:dyDescent="0.25">
      <c r="A4" s="136"/>
      <c r="B4" s="120" t="s">
        <v>64</v>
      </c>
      <c r="C4" s="120" t="s">
        <v>65</v>
      </c>
      <c r="G4" s="137"/>
      <c r="H4" s="120" t="s">
        <v>64</v>
      </c>
      <c r="I4" s="120" t="s">
        <v>65</v>
      </c>
    </row>
    <row r="5" spans="1:10" ht="28.5" customHeight="1" x14ac:dyDescent="0.25">
      <c r="A5" s="138" t="s">
        <v>7</v>
      </c>
      <c r="B5" s="125">
        <v>2</v>
      </c>
      <c r="C5" s="125">
        <v>7</v>
      </c>
      <c r="G5" s="139" t="s">
        <v>66</v>
      </c>
      <c r="H5" s="136">
        <v>4.2</v>
      </c>
      <c r="I5" s="136">
        <v>3.24</v>
      </c>
    </row>
    <row r="6" spans="1:10" ht="28.5" customHeight="1" x14ac:dyDescent="0.25">
      <c r="A6" s="138" t="s">
        <v>67</v>
      </c>
      <c r="B6" s="125">
        <v>30</v>
      </c>
      <c r="C6" s="125">
        <v>16</v>
      </c>
      <c r="G6" s="139" t="s">
        <v>68</v>
      </c>
      <c r="H6" s="136">
        <v>4.8</v>
      </c>
      <c r="I6" s="136">
        <v>3.5</v>
      </c>
    </row>
    <row r="7" spans="1:10" ht="28.5" customHeight="1" x14ac:dyDescent="0.25">
      <c r="A7" s="138" t="s">
        <v>69</v>
      </c>
      <c r="B7" s="125">
        <v>25</v>
      </c>
      <c r="C7" s="125">
        <v>12</v>
      </c>
      <c r="E7" s="140"/>
    </row>
    <row r="8" spans="1:10" ht="28.5" customHeight="1" x14ac:dyDescent="0.25">
      <c r="A8" s="138" t="s">
        <v>70</v>
      </c>
      <c r="B8" s="136">
        <v>5</v>
      </c>
      <c r="C8" s="136">
        <v>10</v>
      </c>
    </row>
    <row r="10" spans="1:10" ht="15.75" x14ac:dyDescent="0.25">
      <c r="A10" s="93" t="s">
        <v>71</v>
      </c>
      <c r="B10" s="141"/>
      <c r="C10" s="141"/>
      <c r="D10" s="141"/>
      <c r="E10" s="141"/>
      <c r="F10" s="141"/>
    </row>
    <row r="11" spans="1:10" ht="31.5" x14ac:dyDescent="0.25">
      <c r="A11" s="142" t="s">
        <v>64</v>
      </c>
      <c r="B11" s="120" t="s">
        <v>39</v>
      </c>
      <c r="C11" s="120" t="s">
        <v>4</v>
      </c>
      <c r="D11" s="120" t="s">
        <v>5</v>
      </c>
      <c r="E11" s="121"/>
      <c r="F11" s="120" t="s">
        <v>39</v>
      </c>
      <c r="G11" s="120" t="s">
        <v>4</v>
      </c>
      <c r="H11" s="120" t="s">
        <v>5</v>
      </c>
    </row>
    <row r="12" spans="1:10" ht="27" customHeight="1" x14ac:dyDescent="0.25">
      <c r="A12" s="138" t="s">
        <v>7</v>
      </c>
      <c r="B12" s="125"/>
      <c r="C12" s="127"/>
      <c r="D12" s="127"/>
      <c r="E12" s="143" t="s">
        <v>6</v>
      </c>
      <c r="F12" s="125"/>
      <c r="G12" s="127"/>
      <c r="H12" s="127"/>
    </row>
    <row r="13" spans="1:10" ht="27" customHeight="1" x14ac:dyDescent="0.25">
      <c r="A13" s="138" t="s">
        <v>14</v>
      </c>
      <c r="B13" s="125"/>
      <c r="C13" s="127"/>
      <c r="D13" s="127"/>
      <c r="E13" s="143" t="s">
        <v>72</v>
      </c>
      <c r="F13" s="125"/>
      <c r="G13" s="127"/>
      <c r="H13" s="127"/>
    </row>
    <row r="14" spans="1:10" ht="27" customHeight="1" x14ac:dyDescent="0.25">
      <c r="A14" s="138" t="s">
        <v>12</v>
      </c>
      <c r="B14" s="144"/>
      <c r="C14" s="128"/>
      <c r="D14" s="127"/>
      <c r="E14" s="143" t="s">
        <v>12</v>
      </c>
      <c r="F14" s="144"/>
      <c r="G14" s="127"/>
      <c r="H14" s="127"/>
    </row>
    <row r="15" spans="1:10" ht="27" customHeight="1" x14ac:dyDescent="0.25"/>
    <row r="16" spans="1:10" ht="32.25" customHeight="1" x14ac:dyDescent="0.25">
      <c r="A16" s="142" t="s">
        <v>65</v>
      </c>
      <c r="B16" s="120" t="s">
        <v>39</v>
      </c>
      <c r="C16" s="120" t="s">
        <v>4</v>
      </c>
      <c r="D16" s="120" t="s">
        <v>5</v>
      </c>
      <c r="E16" s="145"/>
      <c r="F16" s="120" t="s">
        <v>39</v>
      </c>
      <c r="G16" s="120" t="s">
        <v>4</v>
      </c>
      <c r="H16" s="120" t="s">
        <v>5</v>
      </c>
    </row>
    <row r="17" spans="1:12" ht="27" customHeight="1" x14ac:dyDescent="0.25">
      <c r="A17" s="138" t="s">
        <v>7</v>
      </c>
      <c r="B17" s="125"/>
      <c r="C17" s="127"/>
      <c r="D17" s="127"/>
      <c r="E17" s="143" t="s">
        <v>6</v>
      </c>
      <c r="F17" s="125"/>
      <c r="G17" s="127"/>
      <c r="H17" s="127"/>
    </row>
    <row r="18" spans="1:12" ht="27" customHeight="1" x14ac:dyDescent="0.25">
      <c r="A18" s="138" t="s">
        <v>14</v>
      </c>
      <c r="B18" s="125"/>
      <c r="C18" s="127"/>
      <c r="D18" s="127"/>
      <c r="E18" s="143" t="s">
        <v>72</v>
      </c>
      <c r="F18" s="125"/>
      <c r="G18" s="127"/>
      <c r="H18" s="127"/>
    </row>
    <row r="19" spans="1:12" ht="27" customHeight="1" x14ac:dyDescent="0.25">
      <c r="A19" s="138" t="s">
        <v>12</v>
      </c>
      <c r="B19" s="125"/>
      <c r="C19" s="128"/>
      <c r="D19" s="127"/>
      <c r="E19" s="143" t="s">
        <v>12</v>
      </c>
      <c r="F19" s="125"/>
      <c r="G19" s="127"/>
      <c r="H19" s="127"/>
    </row>
    <row r="21" spans="1:12" ht="15.75" x14ac:dyDescent="0.25">
      <c r="A21" s="93" t="s">
        <v>73</v>
      </c>
      <c r="B21" s="93"/>
      <c r="C21" s="93"/>
      <c r="D21" s="93"/>
    </row>
    <row r="22" spans="1:12" ht="47.25" x14ac:dyDescent="0.25">
      <c r="A22" s="136"/>
      <c r="B22" s="87" t="s">
        <v>58</v>
      </c>
      <c r="C22" s="87" t="s">
        <v>56</v>
      </c>
      <c r="D22" s="87" t="s">
        <v>74</v>
      </c>
      <c r="E22" s="87" t="s">
        <v>4</v>
      </c>
      <c r="F22" s="87" t="s">
        <v>75</v>
      </c>
    </row>
    <row r="23" spans="1:12" ht="31.5" x14ac:dyDescent="0.25">
      <c r="A23" s="146" t="s">
        <v>64</v>
      </c>
      <c r="B23" s="125"/>
      <c r="C23" s="125"/>
      <c r="D23" s="125"/>
      <c r="E23" s="127"/>
      <c r="F23" s="125"/>
    </row>
    <row r="24" spans="1:12" ht="31.5" x14ac:dyDescent="0.25">
      <c r="A24" s="146" t="s">
        <v>65</v>
      </c>
      <c r="B24" s="125"/>
      <c r="C24" s="125"/>
      <c r="D24" s="125"/>
      <c r="E24" s="127"/>
      <c r="F24" s="125"/>
    </row>
    <row r="25" spans="1:12" ht="24.75" customHeight="1" x14ac:dyDescent="0.25">
      <c r="A25" s="147"/>
      <c r="B25" s="147"/>
      <c r="C25" s="147"/>
      <c r="D25" s="147"/>
      <c r="E25" s="148" t="s">
        <v>76</v>
      </c>
      <c r="F25" s="149"/>
    </row>
    <row r="27" spans="1:12" ht="15.75" x14ac:dyDescent="0.25">
      <c r="A27" s="93" t="s">
        <v>77</v>
      </c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4"/>
    </row>
    <row r="28" spans="1:12" ht="31.5" x14ac:dyDescent="0.25">
      <c r="A28" s="150"/>
      <c r="B28" s="151" t="s">
        <v>78</v>
      </c>
      <c r="C28" s="151" t="s">
        <v>79</v>
      </c>
    </row>
    <row r="29" spans="1:12" ht="32.25" customHeight="1" x14ac:dyDescent="0.25">
      <c r="A29" s="135" t="s">
        <v>80</v>
      </c>
      <c r="B29" s="134"/>
      <c r="C29" s="134"/>
    </row>
    <row r="30" spans="1:12" ht="32.25" customHeight="1" x14ac:dyDescent="0.25">
      <c r="A30" s="135" t="s">
        <v>81</v>
      </c>
      <c r="B30" s="152"/>
      <c r="C30" s="152"/>
    </row>
    <row r="31" spans="1:12" ht="32.25" customHeight="1" x14ac:dyDescent="0.25">
      <c r="A31" s="135" t="s">
        <v>82</v>
      </c>
      <c r="B31" s="134"/>
      <c r="C31" s="134"/>
      <c r="I31" s="154"/>
    </row>
    <row r="33" spans="1:5" ht="15.75" x14ac:dyDescent="0.25">
      <c r="A33" s="93" t="s">
        <v>83</v>
      </c>
      <c r="B33" s="141"/>
      <c r="C33" s="141"/>
      <c r="D33" s="141"/>
      <c r="E33" s="94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"/>
  <sheetViews>
    <sheetView workbookViewId="0">
      <selection activeCell="J6" sqref="J6"/>
    </sheetView>
  </sheetViews>
  <sheetFormatPr baseColWidth="10" defaultRowHeight="15.75" x14ac:dyDescent="0.25"/>
  <cols>
    <col min="1" max="1" width="15.140625" style="154" customWidth="1"/>
    <col min="2" max="11" width="13.7109375" style="154" customWidth="1"/>
    <col min="12" max="16384" width="11.42578125" style="154"/>
  </cols>
  <sheetData>
    <row r="1" spans="1:6" x14ac:dyDescent="0.25">
      <c r="A1" s="1" t="s">
        <v>0</v>
      </c>
      <c r="B1" s="110"/>
      <c r="C1" s="110"/>
      <c r="D1" s="110"/>
      <c r="E1" s="110"/>
      <c r="F1" s="153"/>
    </row>
    <row r="2" spans="1:6" x14ac:dyDescent="0.25">
      <c r="A2" s="82" t="s">
        <v>84</v>
      </c>
      <c r="B2" s="83"/>
      <c r="C2" s="83"/>
      <c r="D2" s="83"/>
      <c r="E2" s="113"/>
    </row>
    <row r="3" spans="1:6" s="156" customFormat="1" x14ac:dyDescent="0.25">
      <c r="A3" s="2"/>
      <c r="B3" s="155"/>
      <c r="C3" s="155"/>
      <c r="D3" s="155"/>
      <c r="E3" s="111"/>
    </row>
    <row r="4" spans="1:6" s="156" customFormat="1" x14ac:dyDescent="0.25">
      <c r="A4" s="114" t="s">
        <v>17</v>
      </c>
      <c r="B4" s="155"/>
      <c r="C4" s="155"/>
      <c r="D4" s="155"/>
      <c r="E4" s="111"/>
    </row>
    <row r="5" spans="1:6" s="156" customFormat="1" ht="31.5" x14ac:dyDescent="0.25">
      <c r="A5" s="154"/>
      <c r="B5" s="157" t="s">
        <v>85</v>
      </c>
      <c r="C5" s="157" t="s">
        <v>86</v>
      </c>
      <c r="D5" s="155"/>
      <c r="E5" s="111"/>
    </row>
    <row r="6" spans="1:6" s="156" customFormat="1" ht="31.5" x14ac:dyDescent="0.25">
      <c r="A6" s="158" t="s">
        <v>87</v>
      </c>
      <c r="B6" s="159">
        <v>10.5</v>
      </c>
      <c r="C6" s="159">
        <v>9.9</v>
      </c>
      <c r="D6" s="155"/>
      <c r="E6" s="111"/>
    </row>
    <row r="7" spans="1:6" s="156" customFormat="1" x14ac:dyDescent="0.25">
      <c r="A7" s="160"/>
      <c r="B7" s="161"/>
      <c r="C7" s="161"/>
      <c r="D7" s="155"/>
      <c r="E7" s="111"/>
    </row>
    <row r="8" spans="1:6" x14ac:dyDescent="0.25">
      <c r="A8" s="84" t="s">
        <v>88</v>
      </c>
      <c r="B8" s="162"/>
      <c r="C8" s="162"/>
      <c r="D8" s="162"/>
    </row>
    <row r="9" spans="1:6" ht="31.5" x14ac:dyDescent="0.25">
      <c r="A9" s="163"/>
      <c r="B9" s="215" t="s">
        <v>89</v>
      </c>
      <c r="C9" s="219"/>
      <c r="D9" s="142" t="s">
        <v>90</v>
      </c>
      <c r="E9" s="142" t="s">
        <v>91</v>
      </c>
      <c r="F9" s="142" t="s">
        <v>92</v>
      </c>
    </row>
    <row r="10" spans="1:6" x14ac:dyDescent="0.25">
      <c r="A10" s="164"/>
      <c r="B10" s="123" t="s">
        <v>93</v>
      </c>
      <c r="C10" s="123" t="s">
        <v>94</v>
      </c>
      <c r="D10" s="123" t="s">
        <v>93</v>
      </c>
      <c r="E10" s="123" t="s">
        <v>93</v>
      </c>
      <c r="F10" s="123" t="s">
        <v>93</v>
      </c>
    </row>
    <row r="11" spans="1:6" ht="28.5" customHeight="1" x14ac:dyDescent="0.25">
      <c r="A11" s="165" t="s">
        <v>85</v>
      </c>
      <c r="B11" s="125">
        <v>40</v>
      </c>
      <c r="C11" s="166">
        <v>6.68</v>
      </c>
      <c r="D11" s="125">
        <v>2</v>
      </c>
      <c r="E11" s="125">
        <v>10</v>
      </c>
      <c r="F11" s="125">
        <v>30</v>
      </c>
    </row>
    <row r="12" spans="1:6" ht="28.5" customHeight="1" x14ac:dyDescent="0.25">
      <c r="A12" s="165" t="s">
        <v>86</v>
      </c>
      <c r="B12" s="125">
        <v>58</v>
      </c>
      <c r="C12" s="166">
        <v>6.32</v>
      </c>
      <c r="D12" s="125">
        <v>4</v>
      </c>
      <c r="E12" s="125">
        <v>2</v>
      </c>
      <c r="F12" s="125">
        <v>10</v>
      </c>
    </row>
    <row r="14" spans="1:6" x14ac:dyDescent="0.25">
      <c r="A14" s="167"/>
      <c r="B14" s="215" t="s">
        <v>95</v>
      </c>
      <c r="C14" s="219"/>
      <c r="D14" s="215" t="s">
        <v>96</v>
      </c>
      <c r="E14" s="219"/>
    </row>
    <row r="15" spans="1:6" ht="31.5" x14ac:dyDescent="0.25">
      <c r="A15" s="167"/>
      <c r="B15" s="168" t="s">
        <v>97</v>
      </c>
      <c r="C15" s="123" t="s">
        <v>98</v>
      </c>
      <c r="D15" s="168" t="s">
        <v>97</v>
      </c>
      <c r="E15" s="123" t="s">
        <v>98</v>
      </c>
    </row>
    <row r="16" spans="1:6" ht="31.5" x14ac:dyDescent="0.25">
      <c r="A16" s="117" t="s">
        <v>85</v>
      </c>
      <c r="B16" s="149">
        <v>36</v>
      </c>
      <c r="C16" s="166">
        <v>6.7</v>
      </c>
      <c r="D16" s="125">
        <v>60</v>
      </c>
      <c r="E16" s="166">
        <v>6.6</v>
      </c>
    </row>
    <row r="17" spans="1:11" ht="31.5" x14ac:dyDescent="0.25">
      <c r="A17" s="117" t="s">
        <v>86</v>
      </c>
      <c r="B17" s="149">
        <v>48</v>
      </c>
      <c r="C17" s="166">
        <v>6.35</v>
      </c>
      <c r="D17" s="125">
        <v>72</v>
      </c>
      <c r="E17" s="166">
        <v>6.3</v>
      </c>
    </row>
    <row r="19" spans="1:11" x14ac:dyDescent="0.25">
      <c r="A19" s="93" t="s">
        <v>99</v>
      </c>
      <c r="B19" s="130"/>
      <c r="C19" s="130"/>
      <c r="D19" s="130"/>
      <c r="E19" s="130"/>
      <c r="F19" s="130"/>
    </row>
    <row r="20" spans="1:11" ht="31.5" x14ac:dyDescent="0.25">
      <c r="A20" s="163"/>
      <c r="B20" s="120" t="s">
        <v>89</v>
      </c>
      <c r="C20" s="120" t="s">
        <v>90</v>
      </c>
      <c r="D20" s="142" t="s">
        <v>100</v>
      </c>
      <c r="E20" s="120" t="s">
        <v>95</v>
      </c>
      <c r="F20" s="120" t="s">
        <v>91</v>
      </c>
      <c r="G20" s="142" t="s">
        <v>101</v>
      </c>
      <c r="H20" s="120" t="s">
        <v>96</v>
      </c>
      <c r="I20" s="120" t="s">
        <v>92</v>
      </c>
      <c r="J20" s="142" t="s">
        <v>102</v>
      </c>
      <c r="K20" s="142" t="s">
        <v>103</v>
      </c>
    </row>
    <row r="21" spans="1:11" ht="31.5" x14ac:dyDescent="0.25">
      <c r="A21" s="117" t="s">
        <v>85</v>
      </c>
      <c r="B21" s="125"/>
      <c r="C21" s="125"/>
      <c r="D21" s="124"/>
      <c r="E21" s="125"/>
      <c r="F21" s="125"/>
      <c r="G21" s="124"/>
      <c r="H21" s="125"/>
      <c r="I21" s="125"/>
      <c r="J21" s="124"/>
      <c r="K21" s="124"/>
    </row>
    <row r="22" spans="1:11" ht="31.5" x14ac:dyDescent="0.25">
      <c r="A22" s="117" t="s">
        <v>86</v>
      </c>
      <c r="B22" s="125"/>
      <c r="C22" s="125"/>
      <c r="D22" s="124"/>
      <c r="E22" s="125"/>
      <c r="F22" s="125"/>
      <c r="G22" s="124"/>
      <c r="H22" s="125"/>
      <c r="I22" s="125"/>
      <c r="J22" s="124"/>
      <c r="K22" s="124"/>
    </row>
    <row r="24" spans="1:11" x14ac:dyDescent="0.25">
      <c r="A24" s="169" t="s">
        <v>104</v>
      </c>
      <c r="B24" s="130"/>
      <c r="C24" s="130"/>
      <c r="D24" s="130"/>
      <c r="E24" s="130"/>
      <c r="F24" s="130"/>
      <c r="G24" s="130"/>
      <c r="H24" s="130"/>
      <c r="I24" s="130"/>
      <c r="J24" s="130"/>
    </row>
    <row r="25" spans="1:11" ht="60" x14ac:dyDescent="0.25">
      <c r="A25" s="170"/>
      <c r="B25" s="171" t="s">
        <v>105</v>
      </c>
      <c r="C25" s="171" t="s">
        <v>106</v>
      </c>
      <c r="D25" s="171" t="s">
        <v>81</v>
      </c>
    </row>
    <row r="26" spans="1:11" ht="31.5" x14ac:dyDescent="0.25">
      <c r="A26" s="117" t="s">
        <v>85</v>
      </c>
      <c r="B26" s="101"/>
      <c r="C26" s="101"/>
      <c r="D26" s="101"/>
    </row>
    <row r="27" spans="1:11" ht="31.5" x14ac:dyDescent="0.25">
      <c r="A27" s="117" t="s">
        <v>86</v>
      </c>
      <c r="B27" s="101"/>
      <c r="C27" s="101"/>
      <c r="D27" s="101"/>
    </row>
    <row r="29" spans="1:11" x14ac:dyDescent="0.25">
      <c r="A29" s="93" t="s">
        <v>107</v>
      </c>
      <c r="B29" s="93"/>
      <c r="C29" s="93"/>
      <c r="D29" s="93"/>
      <c r="E29" s="93"/>
      <c r="F29" s="93"/>
      <c r="G29" s="93"/>
      <c r="H29" s="93"/>
    </row>
    <row r="30" spans="1:11" ht="31.5" x14ac:dyDescent="0.25">
      <c r="A30" s="172" t="s">
        <v>85</v>
      </c>
      <c r="B30" s="215" t="s">
        <v>43</v>
      </c>
      <c r="C30" s="216"/>
      <c r="D30" s="217"/>
      <c r="E30" s="218" t="s">
        <v>44</v>
      </c>
      <c r="F30" s="216"/>
      <c r="G30" s="217"/>
      <c r="H30" s="218" t="s">
        <v>108</v>
      </c>
      <c r="I30" s="216"/>
      <c r="J30" s="217"/>
    </row>
    <row r="31" spans="1:11" ht="15.75" customHeight="1" x14ac:dyDescent="0.25">
      <c r="A31" s="173" t="s">
        <v>41</v>
      </c>
      <c r="B31" s="174" t="s">
        <v>109</v>
      </c>
      <c r="C31" s="174" t="s">
        <v>110</v>
      </c>
      <c r="D31" s="174" t="s">
        <v>5</v>
      </c>
      <c r="E31" s="174" t="s">
        <v>109</v>
      </c>
      <c r="F31" s="174" t="s">
        <v>110</v>
      </c>
      <c r="G31" s="174" t="s">
        <v>5</v>
      </c>
      <c r="H31" s="174" t="s">
        <v>109</v>
      </c>
      <c r="I31" s="174" t="s">
        <v>110</v>
      </c>
      <c r="J31" s="174" t="s">
        <v>5</v>
      </c>
    </row>
    <row r="32" spans="1:11" ht="30" customHeight="1" x14ac:dyDescent="0.25">
      <c r="A32" s="123" t="s">
        <v>7</v>
      </c>
      <c r="B32" s="123"/>
      <c r="C32" s="123"/>
      <c r="D32" s="123"/>
      <c r="E32" s="123"/>
      <c r="F32" s="123"/>
      <c r="G32" s="123"/>
      <c r="H32" s="123"/>
      <c r="I32" s="175"/>
      <c r="J32" s="123"/>
    </row>
    <row r="33" spans="1:10" ht="30" customHeight="1" x14ac:dyDescent="0.25">
      <c r="A33" s="174" t="s">
        <v>111</v>
      </c>
      <c r="B33" s="123"/>
      <c r="C33" s="123"/>
      <c r="D33" s="123"/>
      <c r="E33" s="123"/>
      <c r="F33" s="176"/>
      <c r="G33" s="123"/>
      <c r="H33" s="123"/>
      <c r="I33" s="176"/>
      <c r="J33" s="123"/>
    </row>
    <row r="34" spans="1:10" ht="30" customHeight="1" x14ac:dyDescent="0.25">
      <c r="A34" s="123" t="s">
        <v>112</v>
      </c>
      <c r="B34" s="123"/>
      <c r="C34" s="176"/>
      <c r="D34" s="123"/>
      <c r="E34" s="123"/>
      <c r="F34" s="123"/>
      <c r="G34" s="123"/>
      <c r="H34" s="123"/>
      <c r="I34" s="176"/>
      <c r="J34" s="123"/>
    </row>
    <row r="35" spans="1:10" ht="30" customHeight="1" x14ac:dyDescent="0.25">
      <c r="A35" s="174" t="s">
        <v>113</v>
      </c>
      <c r="B35" s="123"/>
      <c r="C35" s="123"/>
      <c r="D35" s="123"/>
      <c r="E35" s="123"/>
      <c r="F35" s="176"/>
      <c r="G35" s="177"/>
      <c r="H35" s="123"/>
      <c r="I35" s="176"/>
      <c r="J35" s="123"/>
    </row>
    <row r="36" spans="1:10" ht="30" customHeight="1" x14ac:dyDescent="0.25">
      <c r="A36" s="174" t="s">
        <v>96</v>
      </c>
      <c r="B36" s="123"/>
      <c r="C36" s="176"/>
      <c r="D36" s="123"/>
      <c r="E36" s="123"/>
      <c r="F36" s="123"/>
      <c r="G36" s="123"/>
      <c r="H36" s="123"/>
      <c r="I36" s="176"/>
      <c r="J36" s="123"/>
    </row>
    <row r="37" spans="1:10" ht="30" customHeight="1" x14ac:dyDescent="0.25">
      <c r="A37" s="174" t="s">
        <v>114</v>
      </c>
      <c r="B37" s="123"/>
      <c r="C37" s="123"/>
      <c r="D37" s="123"/>
      <c r="E37" s="123"/>
      <c r="F37" s="176"/>
      <c r="G37" s="123"/>
      <c r="H37" s="123"/>
      <c r="I37" s="176"/>
      <c r="J37" s="123"/>
    </row>
    <row r="38" spans="1:10" x14ac:dyDescent="0.25">
      <c r="A38" s="178" t="s">
        <v>12</v>
      </c>
      <c r="B38" s="123"/>
      <c r="C38" s="123"/>
      <c r="D38" s="123"/>
      <c r="E38" s="123"/>
      <c r="F38" s="123"/>
      <c r="G38" s="123"/>
      <c r="H38" s="123"/>
      <c r="I38" s="123"/>
      <c r="J38" s="123"/>
    </row>
    <row r="40" spans="1:10" ht="31.5" x14ac:dyDescent="0.25">
      <c r="A40" s="172" t="s">
        <v>86</v>
      </c>
      <c r="B40" s="215" t="s">
        <v>43</v>
      </c>
      <c r="C40" s="216"/>
      <c r="D40" s="217"/>
      <c r="E40" s="218" t="s">
        <v>44</v>
      </c>
      <c r="F40" s="216"/>
      <c r="G40" s="217"/>
      <c r="H40" s="218" t="s">
        <v>108</v>
      </c>
      <c r="I40" s="216"/>
      <c r="J40" s="217"/>
    </row>
    <row r="41" spans="1:10" x14ac:dyDescent="0.25">
      <c r="A41" s="173" t="s">
        <v>41</v>
      </c>
      <c r="B41" s="174" t="s">
        <v>109</v>
      </c>
      <c r="C41" s="174" t="s">
        <v>110</v>
      </c>
      <c r="D41" s="174" t="s">
        <v>5</v>
      </c>
      <c r="E41" s="174" t="s">
        <v>109</v>
      </c>
      <c r="F41" s="174" t="s">
        <v>110</v>
      </c>
      <c r="G41" s="174" t="s">
        <v>5</v>
      </c>
      <c r="H41" s="174" t="s">
        <v>109</v>
      </c>
      <c r="I41" s="174" t="s">
        <v>110</v>
      </c>
      <c r="J41" s="174" t="s">
        <v>5</v>
      </c>
    </row>
    <row r="42" spans="1:10" ht="30" customHeight="1" x14ac:dyDescent="0.25">
      <c r="A42" s="174" t="s">
        <v>7</v>
      </c>
      <c r="B42" s="123"/>
      <c r="C42" s="123"/>
      <c r="D42" s="123"/>
      <c r="E42" s="123"/>
      <c r="F42" s="123"/>
      <c r="G42" s="123"/>
      <c r="H42" s="123"/>
      <c r="I42" s="175"/>
      <c r="J42" s="123"/>
    </row>
    <row r="43" spans="1:10" ht="30" customHeight="1" x14ac:dyDescent="0.25">
      <c r="A43" s="174" t="s">
        <v>111</v>
      </c>
      <c r="B43" s="123"/>
      <c r="C43" s="123"/>
      <c r="D43" s="123"/>
      <c r="E43" s="123"/>
      <c r="F43" s="176"/>
      <c r="G43" s="123"/>
      <c r="H43" s="123"/>
      <c r="I43" s="176"/>
      <c r="J43" s="123"/>
    </row>
    <row r="44" spans="1:10" ht="30" customHeight="1" x14ac:dyDescent="0.25">
      <c r="A44" s="174" t="s">
        <v>112</v>
      </c>
      <c r="B44" s="123"/>
      <c r="C44" s="176"/>
      <c r="D44" s="123"/>
      <c r="E44" s="123"/>
      <c r="F44" s="123"/>
      <c r="G44" s="123"/>
      <c r="H44" s="123"/>
      <c r="I44" s="176"/>
      <c r="J44" s="123"/>
    </row>
    <row r="45" spans="1:10" ht="30" customHeight="1" x14ac:dyDescent="0.25">
      <c r="A45" s="174" t="s">
        <v>113</v>
      </c>
      <c r="B45" s="123"/>
      <c r="C45" s="123"/>
      <c r="D45" s="123"/>
      <c r="E45" s="123"/>
      <c r="F45" s="176"/>
      <c r="G45" s="177"/>
      <c r="H45" s="123"/>
      <c r="I45" s="176"/>
      <c r="J45" s="123"/>
    </row>
    <row r="46" spans="1:10" ht="30" customHeight="1" x14ac:dyDescent="0.25">
      <c r="A46" s="174" t="s">
        <v>96</v>
      </c>
      <c r="B46" s="123"/>
      <c r="C46" s="176"/>
      <c r="D46" s="123"/>
      <c r="E46" s="123"/>
      <c r="F46" s="123"/>
      <c r="G46" s="123"/>
      <c r="H46" s="123"/>
      <c r="I46" s="176"/>
      <c r="J46" s="123"/>
    </row>
    <row r="47" spans="1:10" ht="30" customHeight="1" x14ac:dyDescent="0.25">
      <c r="A47" s="174" t="s">
        <v>114</v>
      </c>
      <c r="B47" s="123"/>
      <c r="C47" s="123"/>
      <c r="D47" s="123"/>
      <c r="E47" s="123"/>
      <c r="F47" s="176"/>
      <c r="G47" s="123"/>
      <c r="H47" s="123"/>
      <c r="I47" s="176"/>
      <c r="J47" s="123"/>
    </row>
    <row r="48" spans="1:10" x14ac:dyDescent="0.25">
      <c r="A48" s="178" t="s">
        <v>12</v>
      </c>
      <c r="B48" s="123"/>
      <c r="C48" s="123"/>
      <c r="D48" s="123"/>
      <c r="E48" s="123"/>
      <c r="F48" s="123"/>
      <c r="G48" s="123"/>
      <c r="H48" s="123"/>
      <c r="I48" s="123"/>
      <c r="J48" s="123"/>
    </row>
    <row r="50" spans="1:12" x14ac:dyDescent="0.25">
      <c r="A50" s="93" t="s">
        <v>115</v>
      </c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</row>
    <row r="51" spans="1:12" ht="31.5" x14ac:dyDescent="0.25">
      <c r="A51" s="167"/>
      <c r="B51" s="106" t="s">
        <v>85</v>
      </c>
      <c r="C51" s="106" t="s">
        <v>86</v>
      </c>
    </row>
    <row r="52" spans="1:12" ht="33.75" customHeight="1" x14ac:dyDescent="0.25">
      <c r="A52" s="179" t="s">
        <v>87</v>
      </c>
      <c r="B52" s="159"/>
      <c r="C52" s="159"/>
    </row>
    <row r="53" spans="1:12" ht="33.75" customHeight="1" x14ac:dyDescent="0.25">
      <c r="A53" s="179" t="s">
        <v>116</v>
      </c>
      <c r="B53" s="180"/>
      <c r="C53" s="180"/>
    </row>
    <row r="54" spans="1:12" ht="33.75" customHeight="1" x14ac:dyDescent="0.25">
      <c r="A54" s="179" t="s">
        <v>117</v>
      </c>
      <c r="B54" s="180"/>
      <c r="C54" s="180"/>
    </row>
    <row r="55" spans="1:12" ht="33.75" customHeight="1" x14ac:dyDescent="0.25">
      <c r="A55" s="179" t="s">
        <v>118</v>
      </c>
      <c r="B55" s="180"/>
      <c r="C55" s="180"/>
    </row>
    <row r="56" spans="1:12" ht="33.75" customHeight="1" x14ac:dyDescent="0.25">
      <c r="A56" s="179" t="s">
        <v>119</v>
      </c>
      <c r="B56" s="180"/>
      <c r="C56" s="180"/>
    </row>
  </sheetData>
  <mergeCells count="9">
    <mergeCell ref="B40:D40"/>
    <mergeCell ref="E40:G40"/>
    <mergeCell ref="H40:J40"/>
    <mergeCell ref="B9:C9"/>
    <mergeCell ref="B14:C14"/>
    <mergeCell ref="D14:E14"/>
    <mergeCell ref="B30:D30"/>
    <mergeCell ref="E30:G30"/>
    <mergeCell ref="H30:J30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Ex 1 Chap 5</vt:lpstr>
      <vt:lpstr>Ex 2 Chap 5</vt:lpstr>
      <vt:lpstr>Ex 3 Chap 5</vt:lpstr>
      <vt:lpstr>Ex 4 Chap 5</vt:lpstr>
      <vt:lpstr>Ex 5 Chap 5</vt:lpstr>
      <vt:lpstr>Ex 6 Chap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 COÏC</dc:creator>
  <cp:lastModifiedBy>Bernard COÏC</cp:lastModifiedBy>
  <dcterms:created xsi:type="dcterms:W3CDTF">2021-11-04T10:58:27Z</dcterms:created>
  <dcterms:modified xsi:type="dcterms:W3CDTF">2021-11-09T17:33:33Z</dcterms:modified>
</cp:coreProperties>
</file>