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0" yWindow="0" windowWidth="17640" windowHeight="7350"/>
  </bookViews>
  <sheets>
    <sheet name="Ex 1 Chap 5" sheetId="2" r:id="rId1"/>
    <sheet name="Ex 2 Chap 5" sheetId="3" r:id="rId2"/>
    <sheet name="Ex 3 Chap 5" sheetId="4" r:id="rId3"/>
    <sheet name="Ex 4 Chap 5" sheetId="5" r:id="rId4"/>
    <sheet name="Ex 5 Chap 5" sheetId="6" r:id="rId5"/>
    <sheet name="Ex 6 Chap 5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7" l="1"/>
  <c r="B36" i="7"/>
  <c r="C34" i="7"/>
  <c r="B34" i="7"/>
  <c r="H32" i="7"/>
  <c r="D24" i="6"/>
  <c r="D23" i="6"/>
  <c r="D25" i="5"/>
  <c r="D24" i="5"/>
  <c r="H32" i="3"/>
  <c r="C52" i="7" l="1"/>
  <c r="C53" i="7" s="1"/>
  <c r="B52" i="7"/>
  <c r="B53" i="7" s="1"/>
  <c r="C46" i="7"/>
  <c r="C44" i="7"/>
  <c r="I42" i="7"/>
  <c r="F43" i="7" s="1"/>
  <c r="I43" i="7" s="1"/>
  <c r="B38" i="7"/>
  <c r="D36" i="7"/>
  <c r="D34" i="7"/>
  <c r="F33" i="7"/>
  <c r="I33" i="7" s="1"/>
  <c r="I32" i="7"/>
  <c r="J32" i="7" s="1"/>
  <c r="I22" i="7"/>
  <c r="H22" i="7"/>
  <c r="B46" i="7" s="1"/>
  <c r="D46" i="7" s="1"/>
  <c r="F22" i="7"/>
  <c r="J22" i="7" s="1"/>
  <c r="E47" i="7" s="1"/>
  <c r="E22" i="7"/>
  <c r="B44" i="7" s="1"/>
  <c r="C22" i="7"/>
  <c r="G22" i="7" s="1"/>
  <c r="E45" i="7" s="1"/>
  <c r="B22" i="7"/>
  <c r="D22" i="7" s="1"/>
  <c r="I21" i="7"/>
  <c r="H21" i="7"/>
  <c r="F21" i="7"/>
  <c r="J21" i="7" s="1"/>
  <c r="E37" i="7" s="1"/>
  <c r="E21" i="7"/>
  <c r="C21" i="7"/>
  <c r="G21" i="7" s="1"/>
  <c r="E35" i="7" s="1"/>
  <c r="B21" i="7"/>
  <c r="B26" i="7" s="1"/>
  <c r="D38" i="7" l="1"/>
  <c r="K22" i="7"/>
  <c r="E43" i="7"/>
  <c r="B48" i="7"/>
  <c r="D44" i="7"/>
  <c r="D48" i="7" s="1"/>
  <c r="D21" i="7"/>
  <c r="B27" i="7"/>
  <c r="C27" i="7" s="1"/>
  <c r="H42" i="7"/>
  <c r="D27" i="7" l="1"/>
  <c r="J42" i="7"/>
  <c r="H43" i="7"/>
  <c r="H44" i="7" s="1"/>
  <c r="H45" i="7" s="1"/>
  <c r="H46" i="7" s="1"/>
  <c r="H47" i="7" s="1"/>
  <c r="E33" i="7"/>
  <c r="K21" i="7"/>
  <c r="G43" i="7"/>
  <c r="E48" i="7"/>
  <c r="H48" i="7" s="1"/>
  <c r="C54" i="7"/>
  <c r="J43" i="7" l="1"/>
  <c r="D26" i="7"/>
  <c r="B54" i="7"/>
  <c r="C26" i="7"/>
  <c r="E38" i="7"/>
  <c r="H38" i="7" s="1"/>
  <c r="H33" i="7"/>
  <c r="H34" i="7" s="1"/>
  <c r="H35" i="7" s="1"/>
  <c r="H36" i="7" s="1"/>
  <c r="H37" i="7" s="1"/>
  <c r="G33" i="7"/>
  <c r="I44" i="7" l="1"/>
  <c r="J44" i="7"/>
  <c r="J33" i="7"/>
  <c r="F45" i="7" l="1"/>
  <c r="I34" i="7"/>
  <c r="J34" i="7"/>
  <c r="F35" i="7" l="1"/>
  <c r="I45" i="7"/>
  <c r="G45" i="7"/>
  <c r="I35" i="7" l="1"/>
  <c r="G35" i="7"/>
  <c r="J45" i="7"/>
  <c r="I46" i="7" l="1"/>
  <c r="J46" i="7"/>
  <c r="J35" i="7"/>
  <c r="J36" i="7" l="1"/>
  <c r="I36" i="7"/>
  <c r="F47" i="7"/>
  <c r="I47" i="7" l="1"/>
  <c r="G47" i="7"/>
  <c r="F37" i="7"/>
  <c r="G48" i="7" l="1"/>
  <c r="C55" i="7" s="1"/>
  <c r="C56" i="7" s="1"/>
  <c r="J47" i="7"/>
  <c r="I37" i="7"/>
  <c r="G37" i="7"/>
  <c r="G38" i="7" l="1"/>
  <c r="B55" i="7" s="1"/>
  <c r="B56" i="7" s="1"/>
  <c r="J37" i="7"/>
  <c r="B24" i="6"/>
  <c r="B23" i="6"/>
  <c r="C18" i="6"/>
  <c r="B18" i="6"/>
  <c r="D18" i="6" s="1"/>
  <c r="F17" i="6"/>
  <c r="C17" i="6"/>
  <c r="D17" i="6" s="1"/>
  <c r="B17" i="6"/>
  <c r="C13" i="6"/>
  <c r="B13" i="6"/>
  <c r="D13" i="6" s="1"/>
  <c r="F12" i="6"/>
  <c r="D12" i="6"/>
  <c r="D14" i="6" s="1"/>
  <c r="C12" i="6"/>
  <c r="B12" i="6"/>
  <c r="D19" i="6" l="1"/>
  <c r="B14" i="6"/>
  <c r="B19" i="6"/>
  <c r="C19" i="6" l="1"/>
  <c r="F18" i="6"/>
  <c r="F13" i="6"/>
  <c r="C14" i="6"/>
  <c r="E23" i="6" l="1"/>
  <c r="F23" i="6" s="1"/>
  <c r="G12" i="6"/>
  <c r="H12" i="6" s="1"/>
  <c r="C23" i="6"/>
  <c r="F14" i="6"/>
  <c r="C24" i="6"/>
  <c r="F19" i="6"/>
  <c r="C29" i="6"/>
  <c r="C30" i="6" s="1"/>
  <c r="C31" i="6" s="1"/>
  <c r="B29" i="6"/>
  <c r="B30" i="6" s="1"/>
  <c r="B31" i="6" s="1"/>
  <c r="G17" i="6"/>
  <c r="H17" i="6" s="1"/>
  <c r="E24" i="6"/>
  <c r="F24" i="6" s="1"/>
  <c r="H13" i="6" l="1"/>
  <c r="H14" i="6" s="1"/>
  <c r="G14" i="6" s="1"/>
  <c r="H18" i="6"/>
  <c r="H19" i="6" s="1"/>
  <c r="G19" i="6" s="1"/>
  <c r="F25" i="6"/>
  <c r="B23" i="5" l="1"/>
  <c r="D18" i="5"/>
  <c r="B18" i="5"/>
  <c r="F17" i="5"/>
  <c r="C17" i="5"/>
  <c r="B17" i="5"/>
  <c r="B19" i="5" s="1"/>
  <c r="F18" i="5" s="1"/>
  <c r="B24" i="5" s="1"/>
  <c r="F19" i="5" l="1"/>
  <c r="D17" i="5"/>
  <c r="D19" i="5" s="1"/>
  <c r="B25" i="5"/>
  <c r="C19" i="5" l="1"/>
  <c r="F27" i="4"/>
  <c r="G27" i="4" s="1"/>
  <c r="E27" i="4"/>
  <c r="F26" i="4"/>
  <c r="G26" i="4" s="1"/>
  <c r="F25" i="4"/>
  <c r="G25" i="4" s="1"/>
  <c r="C25" i="4"/>
  <c r="I27" i="4" s="1"/>
  <c r="F24" i="4"/>
  <c r="I23" i="4"/>
  <c r="E21" i="4"/>
  <c r="C21" i="4"/>
  <c r="I22" i="4" s="1"/>
  <c r="B21" i="4"/>
  <c r="D21" i="4" s="1"/>
  <c r="J22" i="4" s="1"/>
  <c r="E20" i="4"/>
  <c r="C18" i="4"/>
  <c r="I20" i="4" s="1"/>
  <c r="B18" i="4"/>
  <c r="I17" i="4"/>
  <c r="F18" i="4" s="1"/>
  <c r="H17" i="4"/>
  <c r="E18" i="4" s="1"/>
  <c r="C25" i="5" l="1"/>
  <c r="C23" i="5"/>
  <c r="D23" i="5" s="1"/>
  <c r="C24" i="5"/>
  <c r="G18" i="5"/>
  <c r="G17" i="5"/>
  <c r="H17" i="5" s="1"/>
  <c r="E19" i="4"/>
  <c r="G19" i="4" s="1"/>
  <c r="G18" i="4"/>
  <c r="F20" i="4"/>
  <c r="G20" i="4" s="1"/>
  <c r="I21" i="4"/>
  <c r="D18" i="4"/>
  <c r="D28" i="4" s="1"/>
  <c r="H18" i="4"/>
  <c r="H20" i="4" s="1"/>
  <c r="H21" i="4" s="1"/>
  <c r="F19" i="4"/>
  <c r="F21" i="4"/>
  <c r="G21" i="4" s="1"/>
  <c r="B28" i="4"/>
  <c r="J17" i="4"/>
  <c r="I18" i="4"/>
  <c r="H22" i="4"/>
  <c r="F23" i="4"/>
  <c r="D25" i="4"/>
  <c r="I25" i="4"/>
  <c r="H18" i="5" l="1"/>
  <c r="H19" i="5" s="1"/>
  <c r="G19" i="5" s="1"/>
  <c r="E23" i="4"/>
  <c r="J18" i="4"/>
  <c r="J20" i="4" s="1"/>
  <c r="J21" i="4" s="1"/>
  <c r="E24" i="4" l="1"/>
  <c r="G23" i="4"/>
  <c r="G24" i="4" l="1"/>
  <c r="G28" i="4" s="1"/>
  <c r="K34" i="4" s="1"/>
  <c r="H23" i="4"/>
  <c r="H25" i="4" s="1"/>
  <c r="H27" i="4" s="1"/>
  <c r="E28" i="4"/>
  <c r="K33" i="4" s="1"/>
  <c r="J23" i="4" l="1"/>
  <c r="J25" i="4" s="1"/>
  <c r="J27" i="4" s="1"/>
  <c r="E37" i="3" l="1"/>
  <c r="E36" i="3"/>
  <c r="E35" i="3"/>
  <c r="B35" i="3"/>
  <c r="E34" i="3"/>
  <c r="E33" i="3"/>
  <c r="C33" i="3"/>
  <c r="D33" i="3" s="1"/>
  <c r="B33" i="3"/>
  <c r="H33" i="3" s="1"/>
  <c r="H34" i="3" s="1"/>
  <c r="H35" i="3" s="1"/>
  <c r="H36" i="3" s="1"/>
  <c r="H37" i="3" s="1"/>
  <c r="E42" i="3" s="1"/>
  <c r="B27" i="3"/>
  <c r="C35" i="3" s="1"/>
  <c r="D35" i="3" s="1"/>
  <c r="B26" i="3"/>
  <c r="B25" i="3"/>
  <c r="I32" i="3" s="1"/>
  <c r="J32" i="3" s="1"/>
  <c r="D20" i="3"/>
  <c r="B20" i="3"/>
  <c r="F33" i="3" l="1"/>
  <c r="G33" i="3" s="1"/>
  <c r="J33" i="3" s="1"/>
  <c r="I33" i="3" l="1"/>
  <c r="F34" i="3"/>
  <c r="G34" i="3" s="1"/>
  <c r="J34" i="3" s="1"/>
  <c r="I34" i="3" l="1"/>
  <c r="F35" i="3"/>
  <c r="G35" i="3" s="1"/>
  <c r="J35" i="3" s="1"/>
  <c r="F36" i="3" l="1"/>
  <c r="G36" i="3" s="1"/>
  <c r="J36" i="3" s="1"/>
  <c r="I35" i="3"/>
  <c r="I36" i="3" l="1"/>
  <c r="F37" i="3"/>
  <c r="G37" i="3" s="1"/>
  <c r="J37" i="3" s="1"/>
  <c r="I37" i="3" s="1"/>
  <c r="F41" i="3" l="1"/>
  <c r="G41" i="3" s="1"/>
  <c r="F42" i="3"/>
  <c r="G42" i="3" s="1"/>
  <c r="C16" i="2"/>
  <c r="B16" i="2"/>
  <c r="E11" i="2"/>
  <c r="F16" i="2" s="1"/>
  <c r="D11" i="2"/>
  <c r="D17" i="2" s="1"/>
  <c r="B11" i="2"/>
  <c r="B17" i="2" s="1"/>
  <c r="D9" i="2"/>
  <c r="D7" i="2"/>
  <c r="D6" i="2"/>
  <c r="D16" i="2" s="1"/>
  <c r="B18" i="2" l="1"/>
  <c r="F17" i="2" s="1"/>
  <c r="F18" i="2" s="1"/>
  <c r="D18" i="2"/>
  <c r="C18" i="2" l="1"/>
  <c r="G16" i="2" s="1"/>
  <c r="H16" i="2" s="1"/>
  <c r="H17" i="2"/>
  <c r="G17" i="2" s="1"/>
  <c r="H18" i="2" l="1"/>
  <c r="G18" i="2" s="1"/>
</calcChain>
</file>

<file path=xl/sharedStrings.xml><?xml version="1.0" encoding="utf-8"?>
<sst xmlns="http://schemas.openxmlformats.org/spreadsheetml/2006/main" count="301" uniqueCount="121">
  <si>
    <t>CHAP 5 VALORISER LES STOCKS ET REALISER DES INVENTAIRES</t>
  </si>
  <si>
    <t>Exercice 1</t>
  </si>
  <si>
    <t>Ressource : Mouvements de stocks du mois de septembre</t>
  </si>
  <si>
    <t>Quantité</t>
  </si>
  <si>
    <t>Coût unitaire</t>
  </si>
  <si>
    <t>Montant</t>
  </si>
  <si>
    <t>Sorties</t>
  </si>
  <si>
    <t>Stock initial</t>
  </si>
  <si>
    <t>Semaine 1</t>
  </si>
  <si>
    <t>Semaine 2</t>
  </si>
  <si>
    <t>Semaine 3</t>
  </si>
  <si>
    <t>Semaine 4</t>
  </si>
  <si>
    <t>Total</t>
  </si>
  <si>
    <t>Présentez la fiche d’évaluation des stocks du mois de septembre pour la référence de bague.</t>
  </si>
  <si>
    <t>Entrées</t>
  </si>
  <si>
    <t>Stock final</t>
  </si>
  <si>
    <t>Exercice 2</t>
  </si>
  <si>
    <t>Données</t>
  </si>
  <si>
    <t xml:space="preserve">Prix d'achat unitaire </t>
  </si>
  <si>
    <t>Frais accessoires d'achat en €:</t>
  </si>
  <si>
    <t>Stock réel fin mars (nombre d'articles):</t>
  </si>
  <si>
    <t>Ressource : Mouvements de stocks de la dernière semaine de mars</t>
  </si>
  <si>
    <t>Lundi</t>
  </si>
  <si>
    <t>Mardi</t>
  </si>
  <si>
    <t>Mercredi</t>
  </si>
  <si>
    <t>Jeudi</t>
  </si>
  <si>
    <t>Vendredi</t>
  </si>
  <si>
    <t>Totaux</t>
  </si>
  <si>
    <t>1) Calculez le coût d’achat des marchandises entrées en stocks</t>
  </si>
  <si>
    <t>Coût d'achat unitaire</t>
  </si>
  <si>
    <t>Entrée du lundi</t>
  </si>
  <si>
    <t>Entrée du mercredi</t>
  </si>
  <si>
    <t>2) Etablissez la fiche de valorisation des stocks par la méthode du coût moyen unitaire pondéré après chaque entrée.</t>
  </si>
  <si>
    <t>Dates</t>
  </si>
  <si>
    <t>Stock</t>
  </si>
  <si>
    <t>3) Déterminez la valeur d’inventaire pour cet article et calculez la démarque inconnue.</t>
  </si>
  <si>
    <t>Valeur d'inventaire (valeur du stock réel valorisé au CUMP)</t>
  </si>
  <si>
    <t>Démarque = Stock réel - stock théorique</t>
  </si>
  <si>
    <t>Exercice 3</t>
  </si>
  <si>
    <t>Quantités</t>
  </si>
  <si>
    <t xml:space="preserve">Sorties </t>
  </si>
  <si>
    <t>Date</t>
  </si>
  <si>
    <t>1. Établissez la fiche de valorisation des stocks pour la semaine du 12 au 17 octobre.</t>
  </si>
  <si>
    <t>ENTREES</t>
  </si>
  <si>
    <t>SORTIES</t>
  </si>
  <si>
    <t xml:space="preserve">STOCK </t>
  </si>
  <si>
    <t>2. Vérifiez par le calcul les quantités et la valeur du stock final que vous avez obtenues dans votre fiche de stock.</t>
  </si>
  <si>
    <t>Vérification du Stock Final en Quantités</t>
  </si>
  <si>
    <t>= Stock initial en quantités + total des quantités entrées - total des quantités  sorties =</t>
  </si>
  <si>
    <t>Vérification du Stock Final en Valeur</t>
  </si>
  <si>
    <t>= Stock initial en valeur + total des entrées en valeur - total des sorties en valeur =</t>
  </si>
  <si>
    <t>Exercice 4</t>
  </si>
  <si>
    <t xml:space="preserve">Données </t>
  </si>
  <si>
    <t>Stock réel fin juin en quantités:</t>
  </si>
  <si>
    <t>Ressource: Mouvements de stocks de la référence de figurine</t>
  </si>
  <si>
    <t>1. Présentez la fiche d’évaluation du stock selon la méthode du CUMP calculé sur le mois.</t>
  </si>
  <si>
    <t>Stock final théorique</t>
  </si>
  <si>
    <t>2. Calculez la différence d’inventaire en quantité et en valeur.</t>
  </si>
  <si>
    <t>Stock final réel</t>
  </si>
  <si>
    <t>Stock final Théorique</t>
  </si>
  <si>
    <t>Différence d'inventaire</t>
  </si>
  <si>
    <t>Exercice 5</t>
  </si>
  <si>
    <t>Ressource 1 : mouvements de stocks en quantités pour le mois d'avril</t>
  </si>
  <si>
    <t>Ressource 2 : Coûts d'achat des marchandises</t>
  </si>
  <si>
    <t>Marque 
Aster</t>
  </si>
  <si>
    <t>Marque 
Bilboquet</t>
  </si>
  <si>
    <t>Coût d'achat du Stock initial</t>
  </si>
  <si>
    <t xml:space="preserve">Livraisons </t>
  </si>
  <si>
    <t xml:space="preserve">Coût d'achat des livraisons </t>
  </si>
  <si>
    <t>Ventes</t>
  </si>
  <si>
    <t xml:space="preserve">Stock final réel </t>
  </si>
  <si>
    <t>1. Établissez les fiches de valorisation du stock pour les deux marques de bougeoirs.</t>
  </si>
  <si>
    <t xml:space="preserve">Stock final </t>
  </si>
  <si>
    <t>2. Évaluez les différences d’inventaire pour les deux marques.</t>
  </si>
  <si>
    <t>Différence d'inventaire en quantités</t>
  </si>
  <si>
    <t>Différence d'inventaire en valeur</t>
  </si>
  <si>
    <t>TOTAL</t>
  </si>
  <si>
    <t>3. Calculez pour les deux références les indicateurs de gestion de stock : le stock moyen possédé sur la période, la rotation des stocks et la durée moyenne de stockage.</t>
  </si>
  <si>
    <t>Marque Aster</t>
  </si>
  <si>
    <t>Marque Bilboquet</t>
  </si>
  <si>
    <t>Stock moyen possédé</t>
  </si>
  <si>
    <t>Rotation des stocks</t>
  </si>
  <si>
    <t xml:space="preserve">Durée moyenne de stockage en jours </t>
  </si>
  <si>
    <t>4. Commentez les résultats des indicateurs de gestion des stocks.</t>
  </si>
  <si>
    <t>Exercice 6</t>
  </si>
  <si>
    <t>Marque Ambre et or</t>
  </si>
  <si>
    <t>Marque Spraysol</t>
  </si>
  <si>
    <t>Prix de vente TTC</t>
  </si>
  <si>
    <t>Ressource : Mouvements de stocks pour le mois de juillet</t>
  </si>
  <si>
    <t>Stock au 1/7</t>
  </si>
  <si>
    <t>Stock au 15/7</t>
  </si>
  <si>
    <t>Stock au 22/7</t>
  </si>
  <si>
    <t>Stocks au 1/8</t>
  </si>
  <si>
    <t>En quantités</t>
  </si>
  <si>
    <t>En valeur</t>
  </si>
  <si>
    <t>Livraison du 16/7</t>
  </si>
  <si>
    <t>Livraison du 23/7</t>
  </si>
  <si>
    <t>Quantité livrée</t>
  </si>
  <si>
    <t>Coût d'achat</t>
  </si>
  <si>
    <t>1. Calculez les ventes en quantité réalisées en juillet pour chaque marque.</t>
  </si>
  <si>
    <t>Ventes du 1 au 15/7</t>
  </si>
  <si>
    <t>Ventes du 16 au 22/7</t>
  </si>
  <si>
    <t>Ventes du 23 au 31/7</t>
  </si>
  <si>
    <t>Ventes totales</t>
  </si>
  <si>
    <t xml:space="preserve">2. Calculez pour chaque marque le stock moyen, la durée moyenne de stockage et la rotation des stocks. Commentez les résultats </t>
  </si>
  <si>
    <t>Stock moyen</t>
  </si>
  <si>
    <t>Durée moyenne de stockage en jours</t>
  </si>
  <si>
    <t>3. Établissez les fiches de valorisation des stocks par la méthode du coût moyen pondéré après chaque entrée.</t>
  </si>
  <si>
    <t>STOCK FINAL</t>
  </si>
  <si>
    <t>Q</t>
  </si>
  <si>
    <t>CU</t>
  </si>
  <si>
    <t>Sorties du 1 au 15/7</t>
  </si>
  <si>
    <t>Livraison 16/7</t>
  </si>
  <si>
    <t>Sorties du 16  au 22/7</t>
  </si>
  <si>
    <t>Sorties du 23 au31/7</t>
  </si>
  <si>
    <t>4. Calculez pour chaque marque le chiffre d’affaires hors taxes réalisé au mois de juillet, le coût d’achat des marchandises sorties des stocks et la marge brute réalisée.</t>
  </si>
  <si>
    <t>Prix de vente HT</t>
  </si>
  <si>
    <t>Chiffre d'affaires HT</t>
  </si>
  <si>
    <t xml:space="preserve">Coût d'achat </t>
  </si>
  <si>
    <t>Marge obtenue</t>
  </si>
  <si>
    <t>Ressource : Mouvements de stocks du 12 au 17 octobre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</si>
</sst>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000"/>
    <numFmt numFmtId="165" formatCode="#,##0.00\ _€"/>
    <numFmt numFmtId="166" formatCode="[$-40C]d\-mmm;@"/>
    <numFmt numFmtId="167" formatCode="_-* #,##0.00\ [$€-40C]_-;\-* #,##0.00\ [$€-40C]_-;_-* &quot;-&quot;??\ [$€-40C]_-;_-@_-"/>
    <numFmt numFmtId="168" formatCode="#,##0.00\ &quot;€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</font>
    <font>
      <b/>
      <u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FF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221">
    <xf numFmtId="0" fontId="0" fillId="0" borderId="0" xfId="0"/>
    <xf numFmtId="0" fontId="3" fillId="2" borderId="0" xfId="0" applyFont="1" applyFill="1"/>
    <xf numFmtId="0" fontId="3" fillId="0" borderId="0" xfId="0" applyFont="1" applyFill="1"/>
    <xf numFmtId="0" fontId="3" fillId="2" borderId="0" xfId="3" applyFont="1" applyFill="1"/>
    <xf numFmtId="0" fontId="5" fillId="3" borderId="0" xfId="3" applyFont="1" applyFill="1"/>
    <xf numFmtId="0" fontId="5" fillId="0" borderId="0" xfId="3" applyFont="1"/>
    <xf numFmtId="0" fontId="6" fillId="0" borderId="0" xfId="3" applyFont="1"/>
    <xf numFmtId="0" fontId="3" fillId="4" borderId="0" xfId="3" applyFont="1" applyFill="1"/>
    <xf numFmtId="0" fontId="3" fillId="5" borderId="0" xfId="3" applyFont="1" applyFill="1"/>
    <xf numFmtId="0" fontId="3" fillId="6" borderId="0" xfId="3" applyFont="1" applyFill="1"/>
    <xf numFmtId="0" fontId="5" fillId="7" borderId="0" xfId="3" applyFont="1" applyFill="1"/>
    <xf numFmtId="0" fontId="5" fillId="0" borderId="1" xfId="3" applyFont="1" applyBorder="1" applyAlignment="1">
      <alignment horizontal="center" vertical="center" wrapText="1"/>
    </xf>
    <xf numFmtId="0" fontId="6" fillId="0" borderId="0" xfId="3" applyFont="1" applyAlignment="1">
      <alignment horizontal="right"/>
    </xf>
    <xf numFmtId="0" fontId="5" fillId="0" borderId="0" xfId="3" applyFont="1" applyAlignment="1">
      <alignment horizontal="center" vertical="center"/>
    </xf>
    <xf numFmtId="3" fontId="5" fillId="0" borderId="1" xfId="3" applyNumberFormat="1" applyFont="1" applyFill="1" applyBorder="1" applyAlignment="1" applyProtection="1">
      <alignment horizontal="center" vertical="center"/>
      <protection locked="0"/>
    </xf>
    <xf numFmtId="0" fontId="5" fillId="0" borderId="1" xfId="3" applyNumberFormat="1" applyFont="1" applyFill="1" applyBorder="1" applyAlignment="1" applyProtection="1">
      <alignment horizontal="center" vertical="center"/>
      <protection locked="0"/>
    </xf>
    <xf numFmtId="2" fontId="5" fillId="0" borderId="1" xfId="3" applyNumberFormat="1" applyFont="1" applyFill="1" applyBorder="1" applyAlignment="1" applyProtection="1">
      <alignment horizontal="right" vertical="center"/>
      <protection locked="0"/>
    </xf>
    <xf numFmtId="0" fontId="5" fillId="0" borderId="1" xfId="3" applyFont="1" applyFill="1" applyBorder="1" applyAlignment="1">
      <alignment horizontal="center" vertical="center"/>
    </xf>
    <xf numFmtId="3" fontId="3" fillId="0" borderId="1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4" fontId="3" fillId="0" borderId="1" xfId="3" applyNumberFormat="1" applyFont="1" applyBorder="1" applyAlignment="1">
      <alignment horizontal="center" vertical="center"/>
    </xf>
    <xf numFmtId="0" fontId="6" fillId="0" borderId="0" xfId="3" applyFont="1" applyBorder="1"/>
    <xf numFmtId="0" fontId="6" fillId="0" borderId="0" xfId="3" applyFont="1" applyBorder="1" applyAlignment="1">
      <alignment horizontal="right"/>
    </xf>
    <xf numFmtId="164" fontId="7" fillId="0" borderId="0" xfId="3" applyNumberFormat="1" applyFont="1" applyFill="1" applyBorder="1" applyAlignment="1" applyProtection="1">
      <alignment horizontal="right"/>
      <protection locked="0"/>
    </xf>
    <xf numFmtId="0" fontId="3" fillId="8" borderId="0" xfId="3" applyFont="1" applyFill="1"/>
    <xf numFmtId="0" fontId="6" fillId="8" borderId="0" xfId="3" applyFont="1" applyFill="1" applyBorder="1" applyAlignment="1">
      <alignment horizontal="right"/>
    </xf>
    <xf numFmtId="0" fontId="5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3" fontId="5" fillId="0" borderId="1" xfId="3" applyNumberFormat="1" applyFont="1" applyBorder="1" applyAlignment="1">
      <alignment horizontal="center" vertical="center"/>
    </xf>
    <xf numFmtId="4" fontId="5" fillId="0" borderId="1" xfId="3" applyNumberFormat="1" applyFont="1" applyBorder="1" applyAlignment="1">
      <alignment horizontal="center" vertical="center"/>
    </xf>
    <xf numFmtId="4" fontId="5" fillId="0" borderId="1" xfId="3" applyNumberFormat="1" applyFont="1" applyBorder="1" applyAlignment="1">
      <alignment horizontal="right" vertical="center"/>
    </xf>
    <xf numFmtId="2" fontId="5" fillId="0" borderId="1" xfId="3" applyNumberFormat="1" applyFont="1" applyBorder="1" applyAlignment="1">
      <alignment horizontal="center" vertical="center"/>
    </xf>
    <xf numFmtId="0" fontId="5" fillId="0" borderId="1" xfId="3" applyNumberFormat="1" applyFont="1" applyBorder="1" applyAlignment="1">
      <alignment horizontal="center" vertical="center"/>
    </xf>
    <xf numFmtId="0" fontId="5" fillId="0" borderId="0" xfId="3" applyFont="1" applyFill="1"/>
    <xf numFmtId="0" fontId="5" fillId="0" borderId="0" xfId="3" applyNumberFormat="1" applyFont="1" applyAlignment="1">
      <alignment horizontal="left"/>
    </xf>
    <xf numFmtId="0" fontId="3" fillId="9" borderId="0" xfId="3" applyFont="1" applyFill="1"/>
    <xf numFmtId="0" fontId="3" fillId="0" borderId="0" xfId="3" applyFont="1" applyFill="1"/>
    <xf numFmtId="0" fontId="5" fillId="0" borderId="0" xfId="3" applyNumberFormat="1" applyFont="1" applyFill="1" applyAlignment="1">
      <alignment horizontal="left"/>
    </xf>
    <xf numFmtId="0" fontId="3" fillId="7" borderId="0" xfId="3" applyNumberFormat="1" applyFont="1" applyFill="1" applyAlignment="1">
      <alignment horizontal="left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center" vertical="center" wrapText="1"/>
    </xf>
    <xf numFmtId="0" fontId="5" fillId="0" borderId="2" xfId="3" applyNumberFormat="1" applyFont="1" applyBorder="1" applyAlignment="1">
      <alignment horizontal="left" vertical="center" wrapText="1"/>
    </xf>
    <xf numFmtId="0" fontId="3" fillId="0" borderId="0" xfId="3" applyNumberFormat="1" applyFont="1" applyFill="1" applyBorder="1" applyAlignment="1">
      <alignment horizontal="left" vertical="center"/>
    </xf>
    <xf numFmtId="0" fontId="3" fillId="0" borderId="0" xfId="3" applyNumberFormat="1" applyFont="1" applyBorder="1" applyAlignment="1">
      <alignment horizontal="center"/>
    </xf>
    <xf numFmtId="0" fontId="5" fillId="0" borderId="0" xfId="3" applyNumberFormat="1" applyFont="1" applyBorder="1" applyAlignment="1">
      <alignment horizontal="left" vertical="top" wrapText="1"/>
    </xf>
    <xf numFmtId="0" fontId="5" fillId="0" borderId="0" xfId="3" applyNumberFormat="1" applyFont="1" applyBorder="1" applyAlignment="1">
      <alignment horizontal="left"/>
    </xf>
    <xf numFmtId="0" fontId="3" fillId="0" borderId="1" xfId="3" applyNumberFormat="1" applyFont="1" applyBorder="1" applyAlignment="1">
      <alignment horizontal="left" vertical="center" wrapText="1"/>
    </xf>
    <xf numFmtId="0" fontId="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3" applyNumberFormat="1" applyFont="1" applyBorder="1" applyAlignment="1">
      <alignment horizontal="left" vertical="center" wrapText="1"/>
    </xf>
    <xf numFmtId="0" fontId="5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3" applyNumberFormat="1" applyFont="1" applyBorder="1" applyAlignment="1">
      <alignment horizontal="left" vertical="center" wrapText="1"/>
    </xf>
    <xf numFmtId="0" fontId="3" fillId="0" borderId="3" xfId="3" applyNumberFormat="1" applyFont="1" applyFill="1" applyBorder="1" applyAlignment="1">
      <alignment horizontal="center" vertical="center" wrapText="1"/>
    </xf>
    <xf numFmtId="0" fontId="3" fillId="0" borderId="1" xfId="3" applyNumberFormat="1" applyFont="1" applyBorder="1" applyAlignment="1">
      <alignment horizontal="center" vertical="center"/>
    </xf>
    <xf numFmtId="0" fontId="3" fillId="0" borderId="3" xfId="3" applyNumberFormat="1" applyFont="1" applyFill="1" applyBorder="1" applyAlignment="1">
      <alignment horizontal="left" vertical="center" wrapText="1"/>
    </xf>
    <xf numFmtId="0" fontId="8" fillId="7" borderId="0" xfId="3" applyFont="1" applyFill="1"/>
    <xf numFmtId="0" fontId="3" fillId="7" borderId="0" xfId="3" applyFont="1" applyFill="1"/>
    <xf numFmtId="0" fontId="3" fillId="0" borderId="1" xfId="3" applyNumberFormat="1" applyFont="1" applyBorder="1" applyAlignment="1">
      <alignment horizontal="center" vertical="center" wrapText="1"/>
    </xf>
    <xf numFmtId="0" fontId="5" fillId="0" borderId="1" xfId="3" applyNumberFormat="1" applyFont="1" applyFill="1" applyBorder="1" applyAlignment="1">
      <alignment horizontal="left" vertical="center" wrapText="1"/>
    </xf>
    <xf numFmtId="0" fontId="5" fillId="0" borderId="0" xfId="3" applyNumberFormat="1" applyFont="1" applyAlignment="1">
      <alignment horizontal="left" wrapText="1"/>
    </xf>
    <xf numFmtId="0" fontId="3" fillId="0" borderId="1" xfId="3" applyNumberFormat="1" applyFont="1" applyFill="1" applyBorder="1" applyAlignment="1">
      <alignment horizontal="left" vertical="center" wrapText="1"/>
    </xf>
    <xf numFmtId="0" fontId="3" fillId="0" borderId="1" xfId="3" applyNumberFormat="1" applyFont="1" applyBorder="1" applyAlignment="1">
      <alignment horizontal="center"/>
    </xf>
    <xf numFmtId="0" fontId="3" fillId="0" borderId="0" xfId="3" applyNumberFormat="1" applyFont="1" applyFill="1" applyBorder="1" applyAlignment="1">
      <alignment horizontal="left" vertical="center" wrapText="1"/>
    </xf>
    <xf numFmtId="0" fontId="3" fillId="8" borderId="0" xfId="3" applyNumberFormat="1" applyFont="1" applyFill="1" applyAlignment="1">
      <alignment horizontal="left"/>
    </xf>
    <xf numFmtId="0" fontId="5" fillId="8" borderId="0" xfId="3" applyNumberFormat="1" applyFont="1" applyFill="1" applyAlignment="1">
      <alignment horizontal="left"/>
    </xf>
    <xf numFmtId="0" fontId="3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3" applyNumberFormat="1" applyFont="1" applyBorder="1" applyAlignment="1">
      <alignment horizontal="left"/>
    </xf>
    <xf numFmtId="0" fontId="5" fillId="0" borderId="0" xfId="3" applyNumberFormat="1" applyFont="1" applyFill="1" applyBorder="1" applyAlignment="1" applyProtection="1">
      <alignment horizontal="left"/>
      <protection locked="0"/>
    </xf>
    <xf numFmtId="0" fontId="3" fillId="8" borderId="0" xfId="3" applyNumberFormat="1" applyFont="1" applyFill="1" applyBorder="1" applyAlignment="1">
      <alignment horizontal="left"/>
    </xf>
    <xf numFmtId="0" fontId="5" fillId="8" borderId="0" xfId="3" applyNumberFormat="1" applyFont="1" applyFill="1" applyBorder="1" applyAlignment="1">
      <alignment horizontal="left"/>
    </xf>
    <xf numFmtId="0" fontId="5" fillId="0" borderId="10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/>
    </xf>
    <xf numFmtId="0" fontId="5" fillId="0" borderId="11" xfId="3" applyFont="1" applyBorder="1" applyAlignment="1" applyProtection="1">
      <alignment horizontal="center" vertical="center"/>
      <protection locked="0"/>
    </xf>
    <xf numFmtId="0" fontId="5" fillId="0" borderId="10" xfId="3" applyFont="1" applyBorder="1" applyAlignment="1" applyProtection="1">
      <alignment horizontal="center" vertical="center"/>
      <protection locked="0"/>
    </xf>
    <xf numFmtId="165" fontId="5" fillId="0" borderId="10" xfId="3" applyNumberFormat="1" applyFont="1" applyBorder="1" applyAlignment="1" applyProtection="1">
      <alignment horizontal="right" vertical="center"/>
      <protection locked="0"/>
    </xf>
    <xf numFmtId="0" fontId="3" fillId="0" borderId="11" xfId="3" applyFont="1" applyBorder="1" applyAlignment="1">
      <alignment horizontal="center" vertical="center"/>
    </xf>
    <xf numFmtId="0" fontId="3" fillId="0" borderId="3" xfId="3" applyNumberFormat="1" applyFont="1" applyBorder="1" applyAlignment="1">
      <alignment horizontal="left"/>
    </xf>
    <xf numFmtId="0" fontId="5" fillId="0" borderId="6" xfId="3" applyNumberFormat="1" applyFont="1" applyBorder="1" applyAlignment="1">
      <alignment horizontal="left"/>
    </xf>
    <xf numFmtId="0" fontId="5" fillId="0" borderId="4" xfId="3" applyNumberFormat="1" applyFont="1" applyBorder="1" applyAlignment="1">
      <alignment horizontal="left"/>
    </xf>
    <xf numFmtId="165" fontId="5" fillId="0" borderId="1" xfId="3" applyNumberFormat="1" applyFont="1" applyBorder="1" applyAlignment="1">
      <alignment horizontal="center" vertical="center"/>
    </xf>
    <xf numFmtId="2" fontId="3" fillId="0" borderId="1" xfId="3" applyNumberFormat="1" applyFont="1" applyBorder="1" applyAlignment="1">
      <alignment horizontal="center" vertical="center"/>
    </xf>
    <xf numFmtId="0" fontId="0" fillId="3" borderId="0" xfId="0" applyFont="1" applyFill="1"/>
    <xf numFmtId="0" fontId="0" fillId="0" borderId="0" xfId="0" applyFont="1" applyFill="1"/>
    <xf numFmtId="0" fontId="0" fillId="0" borderId="0" xfId="0" applyFont="1"/>
    <xf numFmtId="0" fontId="3" fillId="4" borderId="0" xfId="0" applyFont="1" applyFill="1"/>
    <xf numFmtId="0" fontId="9" fillId="0" borderId="0" xfId="0" applyFont="1"/>
    <xf numFmtId="0" fontId="3" fillId="6" borderId="0" xfId="0" applyFont="1" applyFill="1"/>
    <xf numFmtId="0" fontId="9" fillId="7" borderId="0" xfId="0" applyFont="1" applyFill="1"/>
    <xf numFmtId="0" fontId="0" fillId="7" borderId="0" xfId="0" applyFont="1" applyFill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5" fillId="0" borderId="0" xfId="0" applyFont="1" applyAlignment="1">
      <alignment horizontal="center" vertical="top" wrapText="1"/>
    </xf>
    <xf numFmtId="0" fontId="10" fillId="8" borderId="0" xfId="0" applyFont="1" applyFill="1"/>
    <xf numFmtId="0" fontId="0" fillId="8" borderId="0" xfId="0" applyFont="1" applyFill="1"/>
    <xf numFmtId="0" fontId="5" fillId="8" borderId="0" xfId="0" applyFont="1" applyFill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 wrapText="1"/>
    </xf>
    <xf numFmtId="16" fontId="3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 vertical="center" wrapText="1"/>
    </xf>
    <xf numFmtId="0" fontId="2" fillId="8" borderId="0" xfId="0" applyFont="1" applyFill="1" applyAlignment="1">
      <alignment horizontal="left"/>
    </xf>
    <xf numFmtId="0" fontId="2" fillId="0" borderId="1" xfId="0" applyFont="1" applyBorder="1"/>
    <xf numFmtId="2" fontId="2" fillId="0" borderId="1" xfId="0" applyNumberFormat="1" applyFont="1" applyBorder="1"/>
    <xf numFmtId="0" fontId="12" fillId="2" borderId="0" xfId="0" applyFont="1" applyFill="1"/>
    <xf numFmtId="0" fontId="12" fillId="0" borderId="0" xfId="0" applyFont="1" applyFill="1"/>
    <xf numFmtId="0" fontId="0" fillId="10" borderId="0" xfId="0" applyFont="1" applyFill="1"/>
    <xf numFmtId="0" fontId="12" fillId="0" borderId="0" xfId="0" applyFont="1"/>
    <xf numFmtId="0" fontId="3" fillId="7" borderId="0" xfId="0" applyFont="1" applyFill="1"/>
    <xf numFmtId="0" fontId="10" fillId="0" borderId="1" xfId="0" applyFont="1" applyBorder="1" applyAlignment="1">
      <alignment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3" fillId="8" borderId="0" xfId="0" applyFont="1" applyFill="1" applyAlignment="1">
      <alignment vertical="center"/>
    </xf>
    <xf numFmtId="0" fontId="11" fillId="8" borderId="0" xfId="0" applyFont="1" applyFill="1"/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5" fillId="0" borderId="0" xfId="0" applyFont="1" applyBorder="1"/>
    <xf numFmtId="0" fontId="2" fillId="8" borderId="0" xfId="0" applyFont="1" applyFill="1"/>
    <xf numFmtId="0" fontId="3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0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1" fillId="10" borderId="0" xfId="0" applyFont="1" applyFill="1"/>
    <xf numFmtId="0" fontId="11" fillId="0" borderId="0" xfId="0" applyFont="1"/>
    <xf numFmtId="0" fontId="9" fillId="0" borderId="0" xfId="0" applyFont="1" applyFill="1"/>
    <xf numFmtId="0" fontId="11" fillId="0" borderId="0" xfId="0" applyFont="1" applyFill="1"/>
    <xf numFmtId="0" fontId="5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67" fontId="11" fillId="0" borderId="0" xfId="0" applyNumberFormat="1" applyFont="1" applyBorder="1" applyAlignment="1">
      <alignment horizontal="center" vertical="center"/>
    </xf>
    <xf numFmtId="0" fontId="15" fillId="7" borderId="0" xfId="0" applyFont="1" applyFill="1"/>
    <xf numFmtId="0" fontId="5" fillId="0" borderId="1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left" vertical="center" wrapText="1"/>
    </xf>
    <xf numFmtId="167" fontId="5" fillId="0" borderId="1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0" fillId="8" borderId="0" xfId="0" applyFont="1" applyFill="1" applyAlignment="1">
      <alignment vertical="center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167" fontId="5" fillId="0" borderId="10" xfId="0" applyNumberFormat="1" applyFont="1" applyBorder="1" applyAlignment="1">
      <alignment horizontal="center" vertical="center" wrapText="1"/>
    </xf>
    <xf numFmtId="168" fontId="5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6" fontId="5" fillId="0" borderId="11" xfId="0" applyNumberFormat="1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44" fontId="11" fillId="0" borderId="1" xfId="2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3" fillId="0" borderId="3" xfId="3" applyNumberFormat="1" applyFont="1" applyBorder="1" applyAlignment="1">
      <alignment horizontal="center" vertical="center" wrapText="1"/>
    </xf>
    <xf numFmtId="0" fontId="3" fillId="0" borderId="4" xfId="3" applyNumberFormat="1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center" vertical="center" wrapText="1"/>
    </xf>
    <xf numFmtId="166" fontId="3" fillId="0" borderId="1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quotePrefix="1" applyFont="1" applyBorder="1" applyAlignment="1">
      <alignment horizontal="left"/>
    </xf>
    <xf numFmtId="0" fontId="0" fillId="0" borderId="6" xfId="0" quotePrefix="1" applyFont="1" applyBorder="1" applyAlignment="1">
      <alignment horizontal="left"/>
    </xf>
    <xf numFmtId="0" fontId="0" fillId="0" borderId="4" xfId="0" quotePrefix="1" applyFont="1" applyBorder="1" applyAlignment="1">
      <alignment horizontal="left"/>
    </xf>
    <xf numFmtId="0" fontId="0" fillId="0" borderId="1" xfId="0" quotePrefix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">
    <cellStyle name="Milliers" xfId="1" builtinId="3"/>
    <cellStyle name="Monétaire" xfId="2" builtinId="4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33</xdr:row>
      <xdr:rowOff>104775</xdr:rowOff>
    </xdr:from>
    <xdr:to>
      <xdr:col>10</xdr:col>
      <xdr:colOff>76200</xdr:colOff>
      <xdr:row>36</xdr:row>
      <xdr:rowOff>85725</xdr:rowOff>
    </xdr:to>
    <xdr:sp macro="" textlink="">
      <xdr:nvSpPr>
        <xdr:cNvPr id="2" name="ZoneTexte 1"/>
        <xdr:cNvSpPr txBox="1"/>
      </xdr:nvSpPr>
      <xdr:spPr>
        <a:xfrm>
          <a:off x="114300" y="10668000"/>
          <a:ext cx="9267825" cy="5524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marque Aster obtient les meilleurs résultats : si le stock moyen est légèrement supérieur à celui de la marque Bilboquet, la rotation est plus rapide et la durée moyenne de stockage est presque deux fois inférieure à celle de la marque Bilboquet.</a:t>
          </a:r>
        </a:p>
        <a:p>
          <a:endParaRPr lang="fr-FR" sz="12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B18" sqref="B18"/>
    </sheetView>
  </sheetViews>
  <sheetFormatPr baseColWidth="10" defaultRowHeight="12.75" x14ac:dyDescent="0.2"/>
  <cols>
    <col min="1" max="1" width="12.42578125" style="6" customWidth="1"/>
    <col min="2" max="4" width="10.140625" style="12" customWidth="1"/>
    <col min="5" max="5" width="11.28515625" style="12" bestFit="1" customWidth="1"/>
    <col min="6" max="8" width="10.140625" style="12" customWidth="1"/>
    <col min="9" max="10" width="8.5703125" style="12" customWidth="1"/>
    <col min="11" max="16384" width="11.42578125" style="6"/>
  </cols>
  <sheetData>
    <row r="1" spans="1:11" ht="15.75" x14ac:dyDescent="0.25">
      <c r="A1" s="3" t="s">
        <v>0</v>
      </c>
      <c r="B1" s="3"/>
      <c r="C1" s="3"/>
      <c r="D1" s="3"/>
      <c r="E1" s="4"/>
      <c r="F1" s="4"/>
      <c r="G1" s="33"/>
      <c r="H1" s="33"/>
      <c r="I1" s="5"/>
      <c r="J1" s="5"/>
    </row>
    <row r="2" spans="1:11" ht="15.75" x14ac:dyDescent="0.25">
      <c r="A2" s="7" t="s">
        <v>1</v>
      </c>
      <c r="B2" s="8"/>
      <c r="C2" s="5"/>
      <c r="D2" s="5"/>
      <c r="E2" s="5"/>
      <c r="F2" s="5"/>
      <c r="G2" s="5"/>
      <c r="H2" s="5"/>
      <c r="I2" s="5"/>
      <c r="J2" s="5"/>
    </row>
    <row r="3" spans="1:11" ht="15.75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1" ht="15.75" x14ac:dyDescent="0.25">
      <c r="A4" s="9" t="s">
        <v>2</v>
      </c>
      <c r="B4" s="10"/>
      <c r="C4" s="10"/>
      <c r="D4" s="10"/>
      <c r="E4" s="10"/>
      <c r="F4" s="10"/>
      <c r="G4" s="5"/>
      <c r="H4" s="5"/>
      <c r="I4" s="5"/>
      <c r="J4" s="5"/>
    </row>
    <row r="5" spans="1:11" ht="31.5" x14ac:dyDescent="0.2">
      <c r="A5" s="11"/>
      <c r="B5" s="11" t="s">
        <v>3</v>
      </c>
      <c r="C5" s="11" t="s">
        <v>4</v>
      </c>
      <c r="D5" s="11" t="s">
        <v>5</v>
      </c>
      <c r="E5" s="184" t="s">
        <v>6</v>
      </c>
    </row>
    <row r="6" spans="1:11" ht="15.75" x14ac:dyDescent="0.2">
      <c r="A6" s="13" t="s">
        <v>7</v>
      </c>
      <c r="B6" s="14">
        <v>5</v>
      </c>
      <c r="C6" s="15">
        <v>39</v>
      </c>
      <c r="D6" s="16">
        <f>C6*B6</f>
        <v>195</v>
      </c>
      <c r="E6" s="184"/>
    </row>
    <row r="7" spans="1:11" ht="15.75" x14ac:dyDescent="0.2">
      <c r="A7" s="17" t="s">
        <v>8</v>
      </c>
      <c r="B7" s="14">
        <v>20</v>
      </c>
      <c r="C7" s="15">
        <v>40</v>
      </c>
      <c r="D7" s="16">
        <f>C7*B7</f>
        <v>800</v>
      </c>
      <c r="E7" s="14">
        <v>10</v>
      </c>
    </row>
    <row r="8" spans="1:11" ht="15.75" x14ac:dyDescent="0.2">
      <c r="A8" s="17" t="s">
        <v>9</v>
      </c>
      <c r="B8" s="14"/>
      <c r="C8" s="15"/>
      <c r="D8" s="16"/>
      <c r="E8" s="14">
        <v>12</v>
      </c>
    </row>
    <row r="9" spans="1:11" ht="15.75" x14ac:dyDescent="0.2">
      <c r="A9" s="17" t="s">
        <v>10</v>
      </c>
      <c r="B9" s="14">
        <v>50</v>
      </c>
      <c r="C9" s="15">
        <v>38</v>
      </c>
      <c r="D9" s="16">
        <f>C9*B9</f>
        <v>1900</v>
      </c>
      <c r="E9" s="14">
        <v>10</v>
      </c>
    </row>
    <row r="10" spans="1:11" ht="15.75" x14ac:dyDescent="0.2">
      <c r="A10" s="17" t="s">
        <v>11</v>
      </c>
      <c r="B10" s="14"/>
      <c r="C10" s="15"/>
      <c r="D10" s="16"/>
      <c r="E10" s="14">
        <v>11</v>
      </c>
    </row>
    <row r="11" spans="1:11" ht="15.75" x14ac:dyDescent="0.2">
      <c r="A11" s="17" t="s">
        <v>12</v>
      </c>
      <c r="B11" s="18">
        <f>SUM(B7:B10)</f>
        <v>70</v>
      </c>
      <c r="C11" s="19"/>
      <c r="D11" s="20">
        <f>SUM(D7:D10)</f>
        <v>2700</v>
      </c>
      <c r="E11" s="18">
        <f>SUM(E7:E10)</f>
        <v>43</v>
      </c>
    </row>
    <row r="12" spans="1:11" s="21" customFormat="1" x14ac:dyDescent="0.2">
      <c r="B12" s="22"/>
      <c r="C12" s="22"/>
      <c r="D12" s="22"/>
      <c r="E12" s="23"/>
      <c r="F12" s="22"/>
      <c r="G12" s="22"/>
      <c r="H12" s="22"/>
      <c r="I12" s="22"/>
      <c r="J12" s="22"/>
    </row>
    <row r="13" spans="1:11" s="21" customFormat="1" ht="15.75" x14ac:dyDescent="0.25">
      <c r="A13" s="24" t="s">
        <v>13</v>
      </c>
      <c r="B13" s="25"/>
      <c r="C13" s="25"/>
      <c r="D13" s="25"/>
      <c r="E13" s="25"/>
      <c r="F13" s="25"/>
      <c r="G13" s="25"/>
      <c r="H13" s="25"/>
      <c r="I13" s="25"/>
      <c r="J13" s="22"/>
    </row>
    <row r="14" spans="1:11" s="21" customFormat="1" x14ac:dyDescent="0.2">
      <c r="I14" s="22"/>
      <c r="J14" s="22"/>
      <c r="K14" s="22"/>
    </row>
    <row r="15" spans="1:11" s="21" customFormat="1" ht="31.5" customHeight="1" x14ac:dyDescent="0.2">
      <c r="A15" s="26"/>
      <c r="B15" s="27" t="s">
        <v>3</v>
      </c>
      <c r="C15" s="27" t="s">
        <v>4</v>
      </c>
      <c r="D15" s="27" t="s">
        <v>5</v>
      </c>
      <c r="E15" s="11"/>
      <c r="F15" s="27" t="s">
        <v>3</v>
      </c>
      <c r="G15" s="27" t="s">
        <v>4</v>
      </c>
      <c r="H15" s="27" t="s">
        <v>5</v>
      </c>
      <c r="I15" s="22"/>
      <c r="J15" s="22"/>
      <c r="K15" s="22"/>
    </row>
    <row r="16" spans="1:11" s="21" customFormat="1" ht="31.5" customHeight="1" x14ac:dyDescent="0.2">
      <c r="A16" s="19" t="s">
        <v>7</v>
      </c>
      <c r="B16" s="28">
        <f>B6</f>
        <v>5</v>
      </c>
      <c r="C16" s="29">
        <f>C6</f>
        <v>39</v>
      </c>
      <c r="D16" s="30">
        <f>D6</f>
        <v>195</v>
      </c>
      <c r="E16" s="19" t="s">
        <v>6</v>
      </c>
      <c r="F16" s="28">
        <f>E11</f>
        <v>43</v>
      </c>
      <c r="G16" s="29">
        <f>C18</f>
        <v>38.6</v>
      </c>
      <c r="H16" s="31">
        <f>F16*G16</f>
        <v>1659.8</v>
      </c>
      <c r="I16" s="22"/>
      <c r="J16" s="22"/>
      <c r="K16" s="22"/>
    </row>
    <row r="17" spans="1:11" s="21" customFormat="1" ht="31.5" customHeight="1" x14ac:dyDescent="0.2">
      <c r="A17" s="19" t="s">
        <v>14</v>
      </c>
      <c r="B17" s="28">
        <f>B11</f>
        <v>70</v>
      </c>
      <c r="C17" s="26"/>
      <c r="D17" s="30">
        <f>D11</f>
        <v>2700</v>
      </c>
      <c r="E17" s="19" t="s">
        <v>15</v>
      </c>
      <c r="F17" s="15">
        <f>B18-F16</f>
        <v>32</v>
      </c>
      <c r="G17" s="29">
        <f>H17/F17</f>
        <v>38.6</v>
      </c>
      <c r="H17" s="31">
        <f>D18-H16</f>
        <v>1235.2</v>
      </c>
      <c r="I17" s="22"/>
      <c r="J17" s="22"/>
      <c r="K17" s="22"/>
    </row>
    <row r="18" spans="1:11" s="21" customFormat="1" ht="31.5" customHeight="1" x14ac:dyDescent="0.2">
      <c r="A18" s="17" t="s">
        <v>12</v>
      </c>
      <c r="B18" s="26">
        <f>SUM(B16:B17)</f>
        <v>75</v>
      </c>
      <c r="C18" s="31">
        <f>D18/B18</f>
        <v>38.6</v>
      </c>
      <c r="D18" s="30">
        <f>SUM(D16:D17)</f>
        <v>2895</v>
      </c>
      <c r="E18" s="17" t="s">
        <v>12</v>
      </c>
      <c r="F18" s="32">
        <f>SUM(F16:F17)</f>
        <v>75</v>
      </c>
      <c r="G18" s="29">
        <f>H18/F18</f>
        <v>38.6</v>
      </c>
      <c r="H18" s="31">
        <f>SUM(H16:H17)</f>
        <v>2895</v>
      </c>
      <c r="I18" s="22"/>
      <c r="J18" s="22"/>
    </row>
    <row r="19" spans="1:11" s="21" customFormat="1" x14ac:dyDescent="0.2">
      <c r="B19" s="22"/>
      <c r="C19" s="22"/>
      <c r="D19" s="22"/>
      <c r="E19" s="22"/>
      <c r="F19" s="22"/>
      <c r="G19" s="22"/>
      <c r="H19" s="22"/>
      <c r="I19" s="22"/>
      <c r="J19" s="22"/>
    </row>
    <row r="20" spans="1:11" s="21" customFormat="1" x14ac:dyDescent="0.2">
      <c r="B20" s="22"/>
      <c r="C20" s="22"/>
      <c r="D20" s="22"/>
      <c r="E20" s="22"/>
      <c r="F20" s="22"/>
      <c r="G20" s="22"/>
      <c r="H20" s="22"/>
      <c r="I20" s="22"/>
      <c r="J20" s="22"/>
    </row>
    <row r="21" spans="1:11" s="21" customFormat="1" x14ac:dyDescent="0.2">
      <c r="B21" s="22"/>
      <c r="C21" s="22"/>
      <c r="D21" s="22"/>
      <c r="E21" s="23"/>
      <c r="F21" s="22"/>
      <c r="G21" s="22"/>
      <c r="H21" s="22"/>
      <c r="I21" s="22"/>
      <c r="J21" s="22"/>
    </row>
    <row r="22" spans="1:11" s="21" customFormat="1" x14ac:dyDescent="0.2">
      <c r="B22" s="22"/>
      <c r="C22" s="22"/>
      <c r="D22" s="22"/>
      <c r="E22" s="22"/>
      <c r="F22" s="22"/>
      <c r="G22" s="22"/>
      <c r="H22" s="22"/>
      <c r="I22" s="22"/>
      <c r="J22" s="22"/>
    </row>
    <row r="23" spans="1:11" s="21" customFormat="1" x14ac:dyDescent="0.2">
      <c r="B23" s="22"/>
      <c r="C23" s="22"/>
      <c r="D23" s="22"/>
      <c r="E23" s="23"/>
      <c r="F23" s="22"/>
      <c r="G23" s="22"/>
      <c r="H23" s="22"/>
      <c r="I23" s="22"/>
      <c r="J23" s="22"/>
    </row>
    <row r="24" spans="1:11" s="21" customFormat="1" x14ac:dyDescent="0.2">
      <c r="B24" s="22"/>
      <c r="C24" s="22"/>
      <c r="D24" s="22"/>
      <c r="E24" s="22"/>
      <c r="F24" s="22"/>
      <c r="G24" s="22"/>
      <c r="H24" s="22"/>
      <c r="I24" s="22"/>
      <c r="J24" s="22"/>
    </row>
    <row r="25" spans="1:11" s="21" customFormat="1" x14ac:dyDescent="0.2">
      <c r="B25" s="22"/>
      <c r="C25" s="22"/>
      <c r="D25" s="22"/>
      <c r="E25" s="22"/>
      <c r="F25" s="22"/>
      <c r="G25" s="22"/>
      <c r="H25" s="22"/>
      <c r="I25" s="22"/>
      <c r="J25" s="22"/>
    </row>
  </sheetData>
  <mergeCells count="1">
    <mergeCell ref="E5:E6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7" workbookViewId="0">
      <selection activeCell="J32" sqref="J32"/>
    </sheetView>
  </sheetViews>
  <sheetFormatPr baseColWidth="10" defaultRowHeight="15.75" x14ac:dyDescent="0.25"/>
  <cols>
    <col min="1" max="1" width="21.7109375" style="34" customWidth="1"/>
    <col min="2" max="10" width="14.28515625" style="34" customWidth="1"/>
    <col min="11" max="16384" width="11.42578125" style="34"/>
  </cols>
  <sheetData>
    <row r="1" spans="1:8" x14ac:dyDescent="0.25">
      <c r="A1" s="3" t="s">
        <v>0</v>
      </c>
      <c r="B1" s="3"/>
      <c r="C1" s="3"/>
      <c r="D1" s="3"/>
      <c r="E1" s="33"/>
      <c r="F1" s="33"/>
      <c r="G1" s="33"/>
      <c r="H1" s="33"/>
    </row>
    <row r="2" spans="1:8" x14ac:dyDescent="0.25">
      <c r="A2" s="7" t="s">
        <v>16</v>
      </c>
      <c r="B2" s="35"/>
      <c r="C2" s="5"/>
      <c r="D2" s="5"/>
      <c r="E2" s="5"/>
      <c r="F2" s="5"/>
      <c r="G2" s="5"/>
      <c r="H2" s="5"/>
    </row>
    <row r="3" spans="1:8" s="37" customFormat="1" x14ac:dyDescent="0.25">
      <c r="A3" s="36"/>
      <c r="B3" s="36"/>
      <c r="C3" s="33"/>
      <c r="D3" s="33"/>
      <c r="E3" s="33"/>
      <c r="F3" s="33"/>
      <c r="G3" s="33"/>
      <c r="H3" s="33"/>
    </row>
    <row r="4" spans="1:8" s="37" customFormat="1" x14ac:dyDescent="0.25">
      <c r="A4" s="38" t="s">
        <v>17</v>
      </c>
      <c r="G4" s="36"/>
      <c r="H4" s="36"/>
    </row>
    <row r="5" spans="1:8" ht="31.5" x14ac:dyDescent="0.25">
      <c r="A5" s="39"/>
      <c r="B5" s="40" t="s">
        <v>3</v>
      </c>
      <c r="C5" s="40" t="s">
        <v>18</v>
      </c>
      <c r="D5" s="41"/>
      <c r="E5" s="42"/>
      <c r="F5" s="43"/>
      <c r="G5" s="44"/>
      <c r="H5" s="45"/>
    </row>
    <row r="6" spans="1:8" ht="18" customHeight="1" x14ac:dyDescent="0.25">
      <c r="A6" s="46" t="s">
        <v>7</v>
      </c>
      <c r="B6" s="47">
        <v>50</v>
      </c>
      <c r="C6" s="47">
        <v>17.8</v>
      </c>
      <c r="D6" s="41"/>
    </row>
    <row r="7" spans="1:8" ht="18" customHeight="1" x14ac:dyDescent="0.25">
      <c r="A7" s="48"/>
      <c r="B7" s="49"/>
      <c r="C7" s="49"/>
      <c r="D7" s="50"/>
      <c r="E7" s="44"/>
    </row>
    <row r="8" spans="1:8" ht="31.5" x14ac:dyDescent="0.25">
      <c r="A8" s="51" t="s">
        <v>19</v>
      </c>
      <c r="B8" s="52">
        <v>0.5</v>
      </c>
      <c r="C8" s="49"/>
      <c r="D8" s="50"/>
      <c r="E8" s="44"/>
    </row>
    <row r="9" spans="1:8" ht="18" customHeight="1" x14ac:dyDescent="0.25">
      <c r="A9" s="48"/>
      <c r="B9" s="49"/>
      <c r="C9" s="49"/>
      <c r="D9" s="50"/>
      <c r="E9" s="44"/>
    </row>
    <row r="10" spans="1:8" ht="31.5" x14ac:dyDescent="0.25">
      <c r="A10" s="53" t="s">
        <v>20</v>
      </c>
      <c r="B10" s="52">
        <v>25</v>
      </c>
      <c r="C10" s="49"/>
      <c r="D10" s="50"/>
      <c r="E10" s="44"/>
    </row>
    <row r="11" spans="1:8" ht="14.25" customHeight="1" x14ac:dyDescent="0.25">
      <c r="A11" s="48"/>
      <c r="B11" s="49"/>
      <c r="C11" s="49"/>
      <c r="D11" s="50"/>
      <c r="E11" s="44"/>
    </row>
    <row r="12" spans="1:8" s="45" customFormat="1" x14ac:dyDescent="0.25">
      <c r="A12" s="54" t="s">
        <v>21</v>
      </c>
      <c r="B12" s="55"/>
      <c r="C12" s="55"/>
      <c r="D12" s="55"/>
      <c r="E12" s="55"/>
    </row>
    <row r="13" spans="1:8" x14ac:dyDescent="0.25">
      <c r="B13" s="185" t="s">
        <v>14</v>
      </c>
      <c r="C13" s="186"/>
      <c r="D13" s="56" t="s">
        <v>6</v>
      </c>
    </row>
    <row r="14" spans="1:8" ht="31.5" x14ac:dyDescent="0.25">
      <c r="A14" s="50"/>
      <c r="B14" s="40" t="s">
        <v>3</v>
      </c>
      <c r="C14" s="40" t="s">
        <v>18</v>
      </c>
      <c r="D14" s="40" t="s">
        <v>3</v>
      </c>
      <c r="E14" s="45"/>
    </row>
    <row r="15" spans="1:8" x14ac:dyDescent="0.25">
      <c r="A15" s="57" t="s">
        <v>22</v>
      </c>
      <c r="B15" s="47">
        <v>200</v>
      </c>
      <c r="C15" s="47">
        <v>17.5</v>
      </c>
      <c r="D15" s="40">
        <v>90</v>
      </c>
      <c r="E15" s="44"/>
    </row>
    <row r="16" spans="1:8" x14ac:dyDescent="0.25">
      <c r="A16" s="57" t="s">
        <v>23</v>
      </c>
      <c r="B16" s="47"/>
      <c r="C16" s="47"/>
      <c r="D16" s="40">
        <v>110</v>
      </c>
      <c r="E16" s="44"/>
    </row>
    <row r="17" spans="1:11" x14ac:dyDescent="0.25">
      <c r="A17" s="57" t="s">
        <v>24</v>
      </c>
      <c r="B17" s="47">
        <v>300</v>
      </c>
      <c r="C17" s="47">
        <v>17</v>
      </c>
      <c r="D17" s="40">
        <v>106</v>
      </c>
      <c r="E17" s="45"/>
    </row>
    <row r="18" spans="1:11" x14ac:dyDescent="0.25">
      <c r="A18" s="57" t="s">
        <v>25</v>
      </c>
      <c r="B18" s="47"/>
      <c r="C18" s="47"/>
      <c r="D18" s="40">
        <v>114</v>
      </c>
      <c r="E18" s="44"/>
    </row>
    <row r="19" spans="1:11" x14ac:dyDescent="0.25">
      <c r="A19" s="57" t="s">
        <v>26</v>
      </c>
      <c r="B19" s="47"/>
      <c r="C19" s="47"/>
      <c r="D19" s="40">
        <v>100</v>
      </c>
      <c r="E19" s="44"/>
      <c r="K19" s="58"/>
    </row>
    <row r="20" spans="1:11" x14ac:dyDescent="0.25">
      <c r="A20" s="59" t="s">
        <v>27</v>
      </c>
      <c r="B20" s="60">
        <f>SUM(B15:B19)</f>
        <v>500</v>
      </c>
      <c r="C20" s="60"/>
      <c r="D20" s="60">
        <f>SUM(D15:D19)</f>
        <v>520</v>
      </c>
    </row>
    <row r="21" spans="1:11" x14ac:dyDescent="0.25">
      <c r="A21" s="61"/>
      <c r="B21" s="43"/>
      <c r="C21" s="43"/>
      <c r="D21" s="43"/>
    </row>
    <row r="22" spans="1:11" x14ac:dyDescent="0.25">
      <c r="A22" s="62" t="s">
        <v>28</v>
      </c>
      <c r="B22" s="63"/>
      <c r="C22" s="63"/>
      <c r="D22" s="63"/>
    </row>
    <row r="24" spans="1:11" ht="31.5" x14ac:dyDescent="0.25">
      <c r="B24" s="56" t="s">
        <v>29</v>
      </c>
    </row>
    <row r="25" spans="1:11" s="45" customFormat="1" x14ac:dyDescent="0.25">
      <c r="A25" s="46" t="s">
        <v>7</v>
      </c>
      <c r="B25" s="64">
        <f>C6+$B$8</f>
        <v>18.3</v>
      </c>
      <c r="K25" s="34"/>
    </row>
    <row r="26" spans="1:11" s="45" customFormat="1" x14ac:dyDescent="0.25">
      <c r="A26" s="65" t="s">
        <v>30</v>
      </c>
      <c r="B26" s="64">
        <f>C15+$B$8</f>
        <v>18</v>
      </c>
      <c r="E26" s="66"/>
      <c r="K26" s="34"/>
    </row>
    <row r="27" spans="1:11" s="45" customFormat="1" x14ac:dyDescent="0.25">
      <c r="A27" s="65" t="s">
        <v>31</v>
      </c>
      <c r="B27" s="64">
        <f>C17+$B$8</f>
        <v>17.5</v>
      </c>
      <c r="K27" s="34"/>
    </row>
    <row r="28" spans="1:11" s="45" customFormat="1" x14ac:dyDescent="0.25">
      <c r="E28" s="66"/>
      <c r="K28" s="34"/>
    </row>
    <row r="29" spans="1:11" s="45" customFormat="1" x14ac:dyDescent="0.25">
      <c r="A29" s="24" t="s">
        <v>32</v>
      </c>
      <c r="B29" s="67"/>
      <c r="C29" s="67"/>
      <c r="D29" s="67"/>
      <c r="E29" s="67"/>
      <c r="F29" s="67"/>
      <c r="G29" s="67"/>
      <c r="H29" s="68"/>
      <c r="K29" s="34"/>
    </row>
    <row r="30" spans="1:11" s="45" customFormat="1" x14ac:dyDescent="0.25">
      <c r="A30" s="187" t="s">
        <v>33</v>
      </c>
      <c r="B30" s="189" t="s">
        <v>14</v>
      </c>
      <c r="C30" s="190"/>
      <c r="D30" s="191"/>
      <c r="E30" s="192" t="s">
        <v>6</v>
      </c>
      <c r="F30" s="190"/>
      <c r="G30" s="191"/>
      <c r="H30" s="192" t="s">
        <v>34</v>
      </c>
      <c r="I30" s="190"/>
      <c r="J30" s="191"/>
      <c r="K30" s="34"/>
    </row>
    <row r="31" spans="1:11" x14ac:dyDescent="0.25">
      <c r="A31" s="188"/>
      <c r="B31" s="69" t="s">
        <v>3</v>
      </c>
      <c r="C31" s="69" t="s">
        <v>4</v>
      </c>
      <c r="D31" s="69" t="s">
        <v>5</v>
      </c>
      <c r="E31" s="69" t="s">
        <v>3</v>
      </c>
      <c r="F31" s="69" t="s">
        <v>4</v>
      </c>
      <c r="G31" s="69" t="s">
        <v>5</v>
      </c>
      <c r="H31" s="69" t="s">
        <v>3</v>
      </c>
      <c r="I31" s="69" t="s">
        <v>4</v>
      </c>
      <c r="J31" s="69" t="s">
        <v>5</v>
      </c>
    </row>
    <row r="32" spans="1:11" ht="21" customHeight="1" x14ac:dyDescent="0.25">
      <c r="A32" s="70" t="s">
        <v>7</v>
      </c>
      <c r="B32" s="71"/>
      <c r="C32" s="72"/>
      <c r="D32" s="72"/>
      <c r="E32" s="72"/>
      <c r="F32" s="72"/>
      <c r="G32" s="72"/>
      <c r="H32" s="72">
        <f>B6</f>
        <v>50</v>
      </c>
      <c r="I32" s="73">
        <f>B25</f>
        <v>18.3</v>
      </c>
      <c r="J32" s="73">
        <f>I32*H32</f>
        <v>915</v>
      </c>
    </row>
    <row r="33" spans="1:10" ht="21" customHeight="1" x14ac:dyDescent="0.25">
      <c r="A33" s="19" t="s">
        <v>22</v>
      </c>
      <c r="B33" s="72">
        <f>B15</f>
        <v>200</v>
      </c>
      <c r="C33" s="73">
        <f>B26</f>
        <v>18</v>
      </c>
      <c r="D33" s="73">
        <f>C33*B33</f>
        <v>3600</v>
      </c>
      <c r="E33" s="72">
        <f>D15</f>
        <v>90</v>
      </c>
      <c r="F33" s="73">
        <f>(J32+D33)/(H32+B33)</f>
        <v>18.059999999999999</v>
      </c>
      <c r="G33" s="73">
        <f>E33*F33</f>
        <v>1625.3999999999999</v>
      </c>
      <c r="H33" s="72">
        <f>H32+B33-E33</f>
        <v>160</v>
      </c>
      <c r="I33" s="73">
        <f>J33/H33</f>
        <v>18.060000000000002</v>
      </c>
      <c r="J33" s="73">
        <f>J32+D33-G33</f>
        <v>2889.6000000000004</v>
      </c>
    </row>
    <row r="34" spans="1:10" ht="21" customHeight="1" x14ac:dyDescent="0.25">
      <c r="A34" s="74" t="s">
        <v>23</v>
      </c>
      <c r="B34" s="72"/>
      <c r="C34" s="73"/>
      <c r="D34" s="73"/>
      <c r="E34" s="72">
        <f t="shared" ref="E34:E37" si="0">D16</f>
        <v>110</v>
      </c>
      <c r="F34" s="73">
        <f>(J33+D34)/(H33+B34)</f>
        <v>18.060000000000002</v>
      </c>
      <c r="G34" s="73">
        <f>E34*F34</f>
        <v>1986.6000000000004</v>
      </c>
      <c r="H34" s="72">
        <f>H33+B34-E34</f>
        <v>50</v>
      </c>
      <c r="I34" s="73">
        <f>J34/H34</f>
        <v>18.059999999999999</v>
      </c>
      <c r="J34" s="73">
        <f>J33+D34-G34</f>
        <v>903</v>
      </c>
    </row>
    <row r="35" spans="1:10" ht="21" customHeight="1" x14ac:dyDescent="0.25">
      <c r="A35" s="74" t="s">
        <v>24</v>
      </c>
      <c r="B35" s="72">
        <f>B17</f>
        <v>300</v>
      </c>
      <c r="C35" s="73">
        <f>B27</f>
        <v>17.5</v>
      </c>
      <c r="D35" s="73">
        <f>C35*B35</f>
        <v>5250</v>
      </c>
      <c r="E35" s="72">
        <f t="shared" si="0"/>
        <v>106</v>
      </c>
      <c r="F35" s="73">
        <f>(J34+D35)/(H34+B35)</f>
        <v>17.579999999999998</v>
      </c>
      <c r="G35" s="73">
        <f>E35*F35</f>
        <v>1863.4799999999998</v>
      </c>
      <c r="H35" s="72">
        <f>H34+B35-E35</f>
        <v>244</v>
      </c>
      <c r="I35" s="73">
        <f>J35/H35</f>
        <v>17.580000000000002</v>
      </c>
      <c r="J35" s="73">
        <f>J34+D35-G35</f>
        <v>4289.5200000000004</v>
      </c>
    </row>
    <row r="36" spans="1:10" ht="21" customHeight="1" x14ac:dyDescent="0.25">
      <c r="A36" s="74" t="s">
        <v>25</v>
      </c>
      <c r="B36" s="72"/>
      <c r="C36" s="73"/>
      <c r="D36" s="73"/>
      <c r="E36" s="72">
        <f t="shared" si="0"/>
        <v>114</v>
      </c>
      <c r="F36" s="73">
        <f>(J35+D36)/(H35+B36)</f>
        <v>17.580000000000002</v>
      </c>
      <c r="G36" s="73">
        <f>E36*F36</f>
        <v>2004.1200000000001</v>
      </c>
      <c r="H36" s="72">
        <f>H35+B36-E36</f>
        <v>130</v>
      </c>
      <c r="I36" s="73">
        <f>J36/H36</f>
        <v>17.580000000000005</v>
      </c>
      <c r="J36" s="73">
        <f>J35+D36-G36</f>
        <v>2285.4000000000005</v>
      </c>
    </row>
    <row r="37" spans="1:10" ht="21" customHeight="1" x14ac:dyDescent="0.25">
      <c r="A37" s="74" t="s">
        <v>26</v>
      </c>
      <c r="B37" s="72"/>
      <c r="C37" s="73"/>
      <c r="D37" s="73"/>
      <c r="E37" s="72">
        <f t="shared" si="0"/>
        <v>100</v>
      </c>
      <c r="F37" s="73">
        <f>(J36+D37)/(H36+B37)</f>
        <v>17.580000000000005</v>
      </c>
      <c r="G37" s="73">
        <f>E37*F37</f>
        <v>1758.0000000000005</v>
      </c>
      <c r="H37" s="72">
        <f>H36+B37-E37</f>
        <v>30</v>
      </c>
      <c r="I37" s="73">
        <f>J37/H37</f>
        <v>17.580000000000002</v>
      </c>
      <c r="J37" s="73">
        <f>J36+D37-G37</f>
        <v>527.40000000000009</v>
      </c>
    </row>
    <row r="39" spans="1:10" x14ac:dyDescent="0.25">
      <c r="A39" s="24" t="s">
        <v>35</v>
      </c>
      <c r="B39" s="67"/>
      <c r="C39" s="67"/>
      <c r="D39" s="67"/>
      <c r="E39" s="67"/>
      <c r="F39" s="67"/>
    </row>
    <row r="40" spans="1:10" x14ac:dyDescent="0.25">
      <c r="E40" s="11" t="s">
        <v>3</v>
      </c>
      <c r="F40" s="11" t="s">
        <v>4</v>
      </c>
      <c r="G40" s="11" t="s">
        <v>5</v>
      </c>
    </row>
    <row r="41" spans="1:10" ht="19.5" customHeight="1" x14ac:dyDescent="0.25">
      <c r="A41" s="75" t="s">
        <v>36</v>
      </c>
      <c r="B41" s="76"/>
      <c r="C41" s="76"/>
      <c r="D41" s="77"/>
      <c r="E41" s="32">
        <v>25</v>
      </c>
      <c r="F41" s="78">
        <f>I37</f>
        <v>17.580000000000002</v>
      </c>
      <c r="G41" s="79">
        <f>E41*F41</f>
        <v>439.50000000000006</v>
      </c>
    </row>
    <row r="42" spans="1:10" ht="19.5" customHeight="1" x14ac:dyDescent="0.25">
      <c r="A42" s="75" t="s">
        <v>37</v>
      </c>
      <c r="B42" s="76"/>
      <c r="C42" s="76"/>
      <c r="D42" s="77"/>
      <c r="E42" s="32">
        <f>B10-H37</f>
        <v>-5</v>
      </c>
      <c r="F42" s="78">
        <f>I37</f>
        <v>17.580000000000002</v>
      </c>
      <c r="G42" s="79">
        <f>E42*F42</f>
        <v>-87.9</v>
      </c>
    </row>
  </sheetData>
  <mergeCells count="5">
    <mergeCell ref="B13:C13"/>
    <mergeCell ref="A30:A31"/>
    <mergeCell ref="B30:D30"/>
    <mergeCell ref="E30:G30"/>
    <mergeCell ref="H30:J30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H6" sqref="H6"/>
    </sheetView>
  </sheetViews>
  <sheetFormatPr baseColWidth="10" defaultRowHeight="15" x14ac:dyDescent="0.25"/>
  <cols>
    <col min="1" max="1" width="11.42578125" style="82"/>
    <col min="2" max="3" width="14.28515625" style="82" customWidth="1"/>
    <col min="4" max="16384" width="11.42578125" style="82"/>
  </cols>
  <sheetData>
    <row r="1" spans="1:10" ht="15.75" x14ac:dyDescent="0.25">
      <c r="A1" s="1" t="s">
        <v>0</v>
      </c>
      <c r="B1" s="80"/>
      <c r="C1" s="80"/>
      <c r="D1" s="80"/>
      <c r="E1" s="80"/>
      <c r="F1" s="81"/>
      <c r="G1" s="81"/>
    </row>
    <row r="2" spans="1:10" ht="15.75" x14ac:dyDescent="0.25">
      <c r="A2" s="83" t="s">
        <v>38</v>
      </c>
      <c r="B2" s="84"/>
      <c r="C2" s="84"/>
      <c r="D2" s="84"/>
    </row>
    <row r="3" spans="1:10" ht="15.75" x14ac:dyDescent="0.25">
      <c r="A3" s="85" t="s">
        <v>120</v>
      </c>
      <c r="B3" s="86"/>
      <c r="C3" s="86"/>
      <c r="D3" s="86"/>
      <c r="E3" s="87"/>
    </row>
    <row r="4" spans="1:10" ht="15.75" x14ac:dyDescent="0.25">
      <c r="B4" s="88" t="s">
        <v>39</v>
      </c>
      <c r="C4" s="88" t="s">
        <v>4</v>
      </c>
      <c r="E4" s="194" t="s">
        <v>40</v>
      </c>
      <c r="F4" s="195"/>
    </row>
    <row r="5" spans="1:10" ht="31.5" x14ac:dyDescent="0.25">
      <c r="A5" s="89" t="s">
        <v>7</v>
      </c>
      <c r="B5" s="88">
        <v>10</v>
      </c>
      <c r="C5" s="90">
        <v>9</v>
      </c>
      <c r="E5" s="88" t="s">
        <v>41</v>
      </c>
      <c r="F5" s="88" t="s">
        <v>39</v>
      </c>
    </row>
    <row r="6" spans="1:10" ht="15.75" x14ac:dyDescent="0.25">
      <c r="E6" s="91">
        <v>44481</v>
      </c>
      <c r="F6" s="88">
        <v>14</v>
      </c>
    </row>
    <row r="7" spans="1:10" ht="15.75" x14ac:dyDescent="0.25">
      <c r="A7" s="196" t="s">
        <v>14</v>
      </c>
      <c r="B7" s="196"/>
      <c r="C7" s="196"/>
      <c r="E7" s="91">
        <v>44482</v>
      </c>
      <c r="F7" s="88">
        <v>10</v>
      </c>
    </row>
    <row r="8" spans="1:10" ht="15.75" x14ac:dyDescent="0.25">
      <c r="A8" s="88" t="s">
        <v>41</v>
      </c>
      <c r="B8" s="88" t="s">
        <v>39</v>
      </c>
      <c r="C8" s="88" t="s">
        <v>4</v>
      </c>
      <c r="E8" s="91">
        <v>44483</v>
      </c>
      <c r="F8" s="88">
        <v>12</v>
      </c>
    </row>
    <row r="9" spans="1:10" ht="15.75" x14ac:dyDescent="0.25">
      <c r="A9" s="92"/>
      <c r="B9" s="88">
        <v>10</v>
      </c>
      <c r="C9" s="90">
        <v>9</v>
      </c>
      <c r="E9" s="91">
        <v>44484</v>
      </c>
      <c r="F9" s="88">
        <v>22</v>
      </c>
    </row>
    <row r="10" spans="1:10" ht="15.75" x14ac:dyDescent="0.25">
      <c r="A10" s="91">
        <v>44481</v>
      </c>
      <c r="B10" s="88">
        <v>30</v>
      </c>
      <c r="C10" s="90">
        <v>9.1999999999999993</v>
      </c>
      <c r="E10" s="91">
        <v>44485</v>
      </c>
      <c r="F10" s="88">
        <v>23</v>
      </c>
    </row>
    <row r="11" spans="1:10" ht="15.75" x14ac:dyDescent="0.25">
      <c r="A11" s="91">
        <v>44483</v>
      </c>
      <c r="B11" s="88">
        <v>40</v>
      </c>
      <c r="C11" s="90">
        <v>9.8000000000000007</v>
      </c>
      <c r="E11" s="91">
        <v>44486</v>
      </c>
      <c r="F11" s="88">
        <v>32</v>
      </c>
    </row>
    <row r="12" spans="1:10" ht="15.75" x14ac:dyDescent="0.25">
      <c r="A12" s="91">
        <v>44485</v>
      </c>
      <c r="B12" s="88">
        <v>36</v>
      </c>
      <c r="C12" s="90">
        <v>8.9</v>
      </c>
    </row>
    <row r="13" spans="1:10" ht="15.75" x14ac:dyDescent="0.25">
      <c r="D13" s="93"/>
    </row>
    <row r="14" spans="1:10" ht="15.75" x14ac:dyDescent="0.25">
      <c r="A14" s="94" t="s">
        <v>42</v>
      </c>
      <c r="B14" s="95"/>
      <c r="C14" s="95"/>
      <c r="D14" s="96"/>
      <c r="E14" s="95"/>
      <c r="F14" s="95"/>
      <c r="G14" s="95"/>
      <c r="H14" s="81"/>
    </row>
    <row r="15" spans="1:10" ht="15.75" x14ac:dyDescent="0.25">
      <c r="A15" s="197" t="s">
        <v>41</v>
      </c>
      <c r="B15" s="193" t="s">
        <v>43</v>
      </c>
      <c r="C15" s="193"/>
      <c r="D15" s="193"/>
      <c r="E15" s="193" t="s">
        <v>44</v>
      </c>
      <c r="F15" s="193"/>
      <c r="G15" s="193"/>
      <c r="H15" s="193" t="s">
        <v>45</v>
      </c>
      <c r="I15" s="193"/>
      <c r="J15" s="193"/>
    </row>
    <row r="16" spans="1:10" ht="31.5" x14ac:dyDescent="0.25">
      <c r="A16" s="198"/>
      <c r="B16" s="97" t="s">
        <v>39</v>
      </c>
      <c r="C16" s="97" t="s">
        <v>4</v>
      </c>
      <c r="D16" s="97" t="s">
        <v>5</v>
      </c>
      <c r="E16" s="97" t="s">
        <v>39</v>
      </c>
      <c r="F16" s="97" t="s">
        <v>4</v>
      </c>
      <c r="G16" s="97" t="s">
        <v>5</v>
      </c>
      <c r="H16" s="97" t="s">
        <v>39</v>
      </c>
      <c r="I16" s="97" t="s">
        <v>4</v>
      </c>
      <c r="J16" s="97" t="s">
        <v>5</v>
      </c>
    </row>
    <row r="17" spans="1:10" ht="18" customHeight="1" x14ac:dyDescent="0.25">
      <c r="A17" s="98" t="s">
        <v>7</v>
      </c>
      <c r="B17" s="89"/>
      <c r="C17" s="89"/>
      <c r="D17" s="89"/>
      <c r="E17" s="89"/>
      <c r="F17" s="89"/>
      <c r="G17" s="89"/>
      <c r="H17" s="88">
        <f>B9</f>
        <v>10</v>
      </c>
      <c r="I17" s="90">
        <f>C9</f>
        <v>9</v>
      </c>
      <c r="J17" s="90">
        <f>H17*I17</f>
        <v>90</v>
      </c>
    </row>
    <row r="18" spans="1:10" ht="18" customHeight="1" x14ac:dyDescent="0.25">
      <c r="A18" s="201">
        <v>44481</v>
      </c>
      <c r="B18" s="197">
        <f>B10</f>
        <v>30</v>
      </c>
      <c r="C18" s="199">
        <f>C10</f>
        <v>9.1999999999999993</v>
      </c>
      <c r="D18" s="199">
        <f>B18*C18</f>
        <v>276</v>
      </c>
      <c r="E18" s="88">
        <f>H17</f>
        <v>10</v>
      </c>
      <c r="F18" s="90">
        <f>I17</f>
        <v>9</v>
      </c>
      <c r="G18" s="90">
        <f>E18*F18</f>
        <v>90</v>
      </c>
      <c r="H18" s="197">
        <f>H17+B18-E18-E19</f>
        <v>26</v>
      </c>
      <c r="I18" s="199">
        <f>C18</f>
        <v>9.1999999999999993</v>
      </c>
      <c r="J18" s="199">
        <f>J17+D18-G18-G19</f>
        <v>239.2</v>
      </c>
    </row>
    <row r="19" spans="1:10" ht="18" customHeight="1" x14ac:dyDescent="0.25">
      <c r="A19" s="202"/>
      <c r="B19" s="198"/>
      <c r="C19" s="200"/>
      <c r="D19" s="200"/>
      <c r="E19" s="88">
        <f>F6-E18</f>
        <v>4</v>
      </c>
      <c r="F19" s="90">
        <f>C18</f>
        <v>9.1999999999999993</v>
      </c>
      <c r="G19" s="90">
        <f t="shared" ref="G19" si="0">E19*F19</f>
        <v>36.799999999999997</v>
      </c>
      <c r="H19" s="198"/>
      <c r="I19" s="200"/>
      <c r="J19" s="200"/>
    </row>
    <row r="20" spans="1:10" ht="18" customHeight="1" x14ac:dyDescent="0.25">
      <c r="A20" s="99">
        <v>44482</v>
      </c>
      <c r="B20" s="88"/>
      <c r="C20" s="100"/>
      <c r="D20" s="100"/>
      <c r="E20" s="88">
        <f>F7</f>
        <v>10</v>
      </c>
      <c r="F20" s="90">
        <f>C18</f>
        <v>9.1999999999999993</v>
      </c>
      <c r="G20" s="90">
        <f>E20*F20</f>
        <v>92</v>
      </c>
      <c r="H20" s="88">
        <f>H18-E20</f>
        <v>16</v>
      </c>
      <c r="I20" s="90">
        <f>C18</f>
        <v>9.1999999999999993</v>
      </c>
      <c r="J20" s="90">
        <f>J18-G20</f>
        <v>147.19999999999999</v>
      </c>
    </row>
    <row r="21" spans="1:10" ht="18" customHeight="1" x14ac:dyDescent="0.25">
      <c r="A21" s="203">
        <v>44483</v>
      </c>
      <c r="B21" s="196">
        <f>B11</f>
        <v>40</v>
      </c>
      <c r="C21" s="199">
        <f>C11</f>
        <v>9.8000000000000007</v>
      </c>
      <c r="D21" s="199">
        <f>B21*C21</f>
        <v>392</v>
      </c>
      <c r="E21" s="88">
        <f>F8</f>
        <v>12</v>
      </c>
      <c r="F21" s="90">
        <f>C18</f>
        <v>9.1999999999999993</v>
      </c>
      <c r="G21" s="90">
        <f>E21*F21</f>
        <v>110.39999999999999</v>
      </c>
      <c r="H21" s="88">
        <f>H20-E21</f>
        <v>4</v>
      </c>
      <c r="I21" s="90">
        <f>C18</f>
        <v>9.1999999999999993</v>
      </c>
      <c r="J21" s="90">
        <f>J20-G21</f>
        <v>36.799999999999997</v>
      </c>
    </row>
    <row r="22" spans="1:10" ht="18" customHeight="1" x14ac:dyDescent="0.25">
      <c r="A22" s="203"/>
      <c r="B22" s="196"/>
      <c r="C22" s="200"/>
      <c r="D22" s="200"/>
      <c r="E22" s="101"/>
      <c r="F22" s="101"/>
      <c r="G22" s="101"/>
      <c r="H22" s="101">
        <f>B21</f>
        <v>40</v>
      </c>
      <c r="I22" s="102">
        <f>C21</f>
        <v>9.8000000000000007</v>
      </c>
      <c r="J22" s="102">
        <f>D21</f>
        <v>392</v>
      </c>
    </row>
    <row r="23" spans="1:10" ht="18" customHeight="1" x14ac:dyDescent="0.25">
      <c r="A23" s="201">
        <v>44484</v>
      </c>
      <c r="B23" s="197"/>
      <c r="C23" s="199"/>
      <c r="D23" s="199"/>
      <c r="E23" s="88">
        <f>H21</f>
        <v>4</v>
      </c>
      <c r="F23" s="90">
        <f>C18</f>
        <v>9.1999999999999993</v>
      </c>
      <c r="G23" s="90">
        <f>E23*F23</f>
        <v>36.799999999999997</v>
      </c>
      <c r="H23" s="197">
        <f>H21+H22-E23-E24</f>
        <v>22</v>
      </c>
      <c r="I23" s="199">
        <f>C21</f>
        <v>9.8000000000000007</v>
      </c>
      <c r="J23" s="199">
        <f>J21+J22-G23-G24</f>
        <v>215.6</v>
      </c>
    </row>
    <row r="24" spans="1:10" ht="18" customHeight="1" x14ac:dyDescent="0.25">
      <c r="A24" s="202"/>
      <c r="B24" s="198"/>
      <c r="C24" s="200"/>
      <c r="D24" s="200"/>
      <c r="E24" s="88">
        <f>F9-E23</f>
        <v>18</v>
      </c>
      <c r="F24" s="90">
        <f>C21</f>
        <v>9.8000000000000007</v>
      </c>
      <c r="G24" s="90">
        <f>E24*F24</f>
        <v>176.4</v>
      </c>
      <c r="H24" s="198"/>
      <c r="I24" s="200"/>
      <c r="J24" s="200"/>
    </row>
    <row r="25" spans="1:10" ht="18" customHeight="1" x14ac:dyDescent="0.25">
      <c r="A25" s="201">
        <v>44485</v>
      </c>
      <c r="B25" s="197">
        <v>36</v>
      </c>
      <c r="C25" s="199">
        <f>C12</f>
        <v>8.9</v>
      </c>
      <c r="D25" s="199">
        <f>B25*C25</f>
        <v>320.40000000000003</v>
      </c>
      <c r="E25" s="88">
        <v>22</v>
      </c>
      <c r="F25" s="90">
        <f>C21</f>
        <v>9.8000000000000007</v>
      </c>
      <c r="G25" s="90">
        <f t="shared" ref="G25:G27" si="1">E25*F25</f>
        <v>215.60000000000002</v>
      </c>
      <c r="H25" s="197">
        <f>H23+B25-E25-E26</f>
        <v>35</v>
      </c>
      <c r="I25" s="199">
        <f>C25</f>
        <v>8.9</v>
      </c>
      <c r="J25" s="199">
        <f>J23+D25-G25-G26</f>
        <v>311.5</v>
      </c>
    </row>
    <row r="26" spans="1:10" ht="18" customHeight="1" x14ac:dyDescent="0.25">
      <c r="A26" s="202"/>
      <c r="B26" s="198"/>
      <c r="C26" s="200"/>
      <c r="D26" s="200"/>
      <c r="E26" s="88">
        <v>1</v>
      </c>
      <c r="F26" s="90">
        <f>C25</f>
        <v>8.9</v>
      </c>
      <c r="G26" s="90">
        <f t="shared" si="1"/>
        <v>8.9</v>
      </c>
      <c r="H26" s="198"/>
      <c r="I26" s="200"/>
      <c r="J26" s="200"/>
    </row>
    <row r="27" spans="1:10" ht="18" customHeight="1" x14ac:dyDescent="0.25">
      <c r="A27" s="99">
        <v>44486</v>
      </c>
      <c r="B27" s="88"/>
      <c r="C27" s="89"/>
      <c r="D27" s="103"/>
      <c r="E27" s="88">
        <f>F11</f>
        <v>32</v>
      </c>
      <c r="F27" s="90">
        <f>C25</f>
        <v>8.9</v>
      </c>
      <c r="G27" s="90">
        <f t="shared" si="1"/>
        <v>284.8</v>
      </c>
      <c r="H27" s="88">
        <f>H25-E27</f>
        <v>3</v>
      </c>
      <c r="I27" s="90">
        <f>C25</f>
        <v>8.9</v>
      </c>
      <c r="J27" s="108">
        <f>J25-G27</f>
        <v>26.699999999999989</v>
      </c>
    </row>
    <row r="28" spans="1:10" ht="18" customHeight="1" x14ac:dyDescent="0.25">
      <c r="A28" s="104" t="s">
        <v>12</v>
      </c>
      <c r="B28" s="105">
        <f>SUM(B18:B27)</f>
        <v>106</v>
      </c>
      <c r="C28" s="105"/>
      <c r="D28" s="106">
        <f>SUM(D18:D27)</f>
        <v>988.40000000000009</v>
      </c>
      <c r="E28" s="105">
        <f>SUM(E18:E27)</f>
        <v>113</v>
      </c>
      <c r="F28" s="105"/>
      <c r="G28" s="106">
        <f>SUM(G18:G27)</f>
        <v>1051.7</v>
      </c>
      <c r="H28" s="107"/>
      <c r="I28" s="108"/>
      <c r="J28" s="109"/>
    </row>
    <row r="31" spans="1:10" x14ac:dyDescent="0.25">
      <c r="A31" s="110" t="s">
        <v>46</v>
      </c>
      <c r="B31" s="95"/>
      <c r="C31" s="95"/>
      <c r="D31" s="95"/>
      <c r="E31" s="95"/>
      <c r="F31" s="95"/>
      <c r="G31" s="95"/>
      <c r="H31" s="95"/>
      <c r="I31" s="95"/>
    </row>
    <row r="33" spans="1:11" x14ac:dyDescent="0.25">
      <c r="A33" s="204" t="s">
        <v>47</v>
      </c>
      <c r="B33" s="205"/>
      <c r="C33" s="206"/>
      <c r="D33" s="207" t="s">
        <v>48</v>
      </c>
      <c r="E33" s="208"/>
      <c r="F33" s="208"/>
      <c r="G33" s="208"/>
      <c r="H33" s="208"/>
      <c r="I33" s="208"/>
      <c r="J33" s="209"/>
      <c r="K33" s="111">
        <f>H17+B28-E28</f>
        <v>3</v>
      </c>
    </row>
    <row r="34" spans="1:11" x14ac:dyDescent="0.25">
      <c r="A34" s="204" t="s">
        <v>49</v>
      </c>
      <c r="B34" s="205"/>
      <c r="C34" s="206"/>
      <c r="D34" s="210" t="s">
        <v>50</v>
      </c>
      <c r="E34" s="211"/>
      <c r="F34" s="211"/>
      <c r="G34" s="211"/>
      <c r="H34" s="211"/>
      <c r="I34" s="211"/>
      <c r="J34" s="211"/>
      <c r="K34" s="112">
        <f>J17+D28-G28</f>
        <v>26.700000000000045</v>
      </c>
    </row>
  </sheetData>
  <mergeCells count="35">
    <mergeCell ref="A33:C33"/>
    <mergeCell ref="D33:J33"/>
    <mergeCell ref="A34:C34"/>
    <mergeCell ref="D34:J34"/>
    <mergeCell ref="I23:I24"/>
    <mergeCell ref="J23:J24"/>
    <mergeCell ref="A25:A26"/>
    <mergeCell ref="B25:B26"/>
    <mergeCell ref="C25:C26"/>
    <mergeCell ref="D25:D26"/>
    <mergeCell ref="H25:H26"/>
    <mergeCell ref="I25:I26"/>
    <mergeCell ref="J25:J26"/>
    <mergeCell ref="A23:A24"/>
    <mergeCell ref="B23:B24"/>
    <mergeCell ref="C23:C24"/>
    <mergeCell ref="J18:J19"/>
    <mergeCell ref="A21:A22"/>
    <mergeCell ref="B21:B22"/>
    <mergeCell ref="C21:C22"/>
    <mergeCell ref="D21:D22"/>
    <mergeCell ref="I18:I19"/>
    <mergeCell ref="D23:D24"/>
    <mergeCell ref="H23:H24"/>
    <mergeCell ref="A18:A19"/>
    <mergeCell ref="B18:B19"/>
    <mergeCell ref="C18:C19"/>
    <mergeCell ref="D18:D19"/>
    <mergeCell ref="H18:H19"/>
    <mergeCell ref="H15:J15"/>
    <mergeCell ref="E4:F4"/>
    <mergeCell ref="A7:C7"/>
    <mergeCell ref="A15:A16"/>
    <mergeCell ref="B15:D15"/>
    <mergeCell ref="E15:G15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E25" sqref="E25"/>
    </sheetView>
  </sheetViews>
  <sheetFormatPr baseColWidth="10" defaultRowHeight="15" x14ac:dyDescent="0.25"/>
  <cols>
    <col min="1" max="1" width="22.5703125" style="82" customWidth="1"/>
    <col min="2" max="4" width="13.5703125" style="82" customWidth="1"/>
    <col min="5" max="5" width="22.140625" style="82" customWidth="1"/>
    <col min="6" max="8" width="13.5703125" style="82" customWidth="1"/>
    <col min="9" max="16384" width="11.42578125" style="82"/>
  </cols>
  <sheetData>
    <row r="1" spans="1:8" ht="15.75" x14ac:dyDescent="0.25">
      <c r="A1" s="1" t="s">
        <v>0</v>
      </c>
      <c r="B1" s="113"/>
      <c r="C1" s="113"/>
      <c r="D1" s="113"/>
      <c r="E1" s="114"/>
      <c r="F1" s="115"/>
    </row>
    <row r="2" spans="1:8" ht="15.75" x14ac:dyDescent="0.25">
      <c r="A2" s="83" t="s">
        <v>51</v>
      </c>
      <c r="B2" s="84"/>
      <c r="C2" s="84"/>
      <c r="D2" s="84"/>
      <c r="E2" s="116"/>
    </row>
    <row r="3" spans="1:8" ht="15.75" x14ac:dyDescent="0.25">
      <c r="A3" s="2"/>
      <c r="B3" s="84"/>
      <c r="C3" s="84"/>
      <c r="D3" s="84"/>
      <c r="E3" s="116"/>
    </row>
    <row r="4" spans="1:8" ht="15.75" x14ac:dyDescent="0.25">
      <c r="A4" s="117" t="s">
        <v>52</v>
      </c>
      <c r="B4" s="84"/>
      <c r="C4" s="84"/>
      <c r="D4" s="84"/>
      <c r="E4" s="116"/>
    </row>
    <row r="5" spans="1:8" ht="31.5" x14ac:dyDescent="0.25">
      <c r="A5" s="118" t="s">
        <v>53</v>
      </c>
      <c r="B5" s="101">
        <v>28</v>
      </c>
      <c r="C5" s="84"/>
      <c r="D5" s="84"/>
      <c r="E5" s="116"/>
    </row>
    <row r="6" spans="1:8" ht="15.75" x14ac:dyDescent="0.25">
      <c r="A6" s="2"/>
      <c r="B6" s="84"/>
      <c r="C6" s="84"/>
      <c r="D6" s="84"/>
      <c r="E6" s="116"/>
    </row>
    <row r="7" spans="1:8" ht="15.75" x14ac:dyDescent="0.25">
      <c r="A7" s="85" t="s">
        <v>54</v>
      </c>
      <c r="B7" s="86"/>
      <c r="C7" s="86"/>
      <c r="D7" s="86"/>
      <c r="E7" s="87"/>
    </row>
    <row r="8" spans="1:8" ht="15.75" x14ac:dyDescent="0.25">
      <c r="A8" s="212"/>
      <c r="B8" s="213"/>
      <c r="C8" s="119" t="s">
        <v>8</v>
      </c>
      <c r="D8" s="107" t="s">
        <v>8</v>
      </c>
      <c r="E8" s="107" t="s">
        <v>10</v>
      </c>
      <c r="F8" s="107" t="s">
        <v>10</v>
      </c>
    </row>
    <row r="9" spans="1:8" ht="15.75" x14ac:dyDescent="0.25">
      <c r="A9" s="214" t="s">
        <v>7</v>
      </c>
      <c r="B9" s="120" t="s">
        <v>39</v>
      </c>
      <c r="C9" s="88">
        <v>10</v>
      </c>
      <c r="D9" s="88"/>
      <c r="E9" s="88"/>
      <c r="F9" s="88"/>
    </row>
    <row r="10" spans="1:8" ht="15.75" x14ac:dyDescent="0.25">
      <c r="A10" s="215"/>
      <c r="B10" s="120" t="s">
        <v>4</v>
      </c>
      <c r="C10" s="88">
        <v>14</v>
      </c>
      <c r="D10" s="88"/>
      <c r="E10" s="88"/>
      <c r="F10" s="88"/>
    </row>
    <row r="11" spans="1:8" ht="15.75" x14ac:dyDescent="0.25">
      <c r="A11" s="214" t="s">
        <v>14</v>
      </c>
      <c r="B11" s="120" t="s">
        <v>39</v>
      </c>
      <c r="C11" s="88">
        <v>30</v>
      </c>
      <c r="D11" s="88"/>
      <c r="E11" s="88">
        <v>80</v>
      </c>
      <c r="F11" s="121"/>
    </row>
    <row r="12" spans="1:8" ht="15.75" x14ac:dyDescent="0.25">
      <c r="A12" s="215"/>
      <c r="B12" s="120" t="s">
        <v>4</v>
      </c>
      <c r="C12" s="88">
        <v>14.2</v>
      </c>
      <c r="D12" s="88"/>
      <c r="E12" s="88">
        <v>13.25</v>
      </c>
      <c r="F12" s="88"/>
    </row>
    <row r="13" spans="1:8" ht="15.75" x14ac:dyDescent="0.25">
      <c r="A13" s="107" t="s">
        <v>6</v>
      </c>
      <c r="B13" s="120" t="s">
        <v>39</v>
      </c>
      <c r="C13" s="88">
        <v>14</v>
      </c>
      <c r="D13" s="88">
        <v>10</v>
      </c>
      <c r="E13" s="88">
        <v>30</v>
      </c>
      <c r="F13" s="88">
        <v>35</v>
      </c>
    </row>
    <row r="15" spans="1:8" ht="15.75" x14ac:dyDescent="0.25">
      <c r="A15" s="94" t="s">
        <v>55</v>
      </c>
      <c r="B15" s="95"/>
      <c r="C15" s="95"/>
      <c r="D15" s="95"/>
      <c r="E15" s="95"/>
      <c r="F15" s="95"/>
      <c r="G15" s="81"/>
    </row>
    <row r="16" spans="1:8" ht="15.75" x14ac:dyDescent="0.25">
      <c r="A16" s="122"/>
      <c r="B16" s="123" t="s">
        <v>39</v>
      </c>
      <c r="C16" s="123" t="s">
        <v>4</v>
      </c>
      <c r="D16" s="123" t="s">
        <v>5</v>
      </c>
      <c r="E16" s="124"/>
      <c r="F16" s="123" t="s">
        <v>39</v>
      </c>
      <c r="G16" s="123" t="s">
        <v>4</v>
      </c>
      <c r="H16" s="123" t="s">
        <v>5</v>
      </c>
    </row>
    <row r="17" spans="1:8" ht="24.75" customHeight="1" x14ac:dyDescent="0.25">
      <c r="A17" s="125" t="s">
        <v>7</v>
      </c>
      <c r="B17" s="126">
        <f>C9</f>
        <v>10</v>
      </c>
      <c r="C17" s="126">
        <f>C10</f>
        <v>14</v>
      </c>
      <c r="D17" s="126">
        <f>B17*C17</f>
        <v>140</v>
      </c>
      <c r="E17" s="127" t="s">
        <v>6</v>
      </c>
      <c r="F17" s="128">
        <f>SUM(C13:F13)</f>
        <v>89</v>
      </c>
      <c r="G17" s="128">
        <f>C19</f>
        <v>13.55</v>
      </c>
      <c r="H17" s="126">
        <f>F17*G17</f>
        <v>1205.95</v>
      </c>
    </row>
    <row r="18" spans="1:8" ht="24.75" customHeight="1" x14ac:dyDescent="0.25">
      <c r="A18" s="125" t="s">
        <v>14</v>
      </c>
      <c r="B18" s="128">
        <f>SUM(C11:F11)</f>
        <v>110</v>
      </c>
      <c r="C18" s="128"/>
      <c r="D18" s="128">
        <f>(C11*C12)+(E11*E12)</f>
        <v>1486</v>
      </c>
      <c r="E18" s="129" t="s">
        <v>56</v>
      </c>
      <c r="F18" s="128">
        <f>B19-F17</f>
        <v>31</v>
      </c>
      <c r="G18" s="130">
        <f>C19</f>
        <v>13.55</v>
      </c>
      <c r="H18" s="128">
        <f>D19-H17</f>
        <v>420.04999999999995</v>
      </c>
    </row>
    <row r="19" spans="1:8" ht="24.75" customHeight="1" x14ac:dyDescent="0.25">
      <c r="A19" s="125" t="s">
        <v>12</v>
      </c>
      <c r="B19" s="128">
        <f>SUM(B17:B18)</f>
        <v>120</v>
      </c>
      <c r="C19" s="131">
        <f>D19/B19</f>
        <v>13.55</v>
      </c>
      <c r="D19" s="128">
        <f>SUM(D17:D18)</f>
        <v>1626</v>
      </c>
      <c r="E19" s="127" t="s">
        <v>12</v>
      </c>
      <c r="F19" s="128">
        <f>SUM(F17:F18)</f>
        <v>120</v>
      </c>
      <c r="G19" s="128">
        <f>H19/F19</f>
        <v>13.55</v>
      </c>
      <c r="H19" s="128">
        <f>SUM(H17:H18)</f>
        <v>1626</v>
      </c>
    </row>
    <row r="21" spans="1:8" ht="15.75" x14ac:dyDescent="0.25">
      <c r="A21" s="132" t="s">
        <v>57</v>
      </c>
      <c r="B21" s="133"/>
      <c r="C21" s="133"/>
      <c r="D21" s="133"/>
      <c r="E21" s="95"/>
    </row>
    <row r="22" spans="1:8" ht="15.75" x14ac:dyDescent="0.25">
      <c r="A22" s="134"/>
      <c r="B22" s="135" t="s">
        <v>3</v>
      </c>
      <c r="C22" s="135" t="s">
        <v>4</v>
      </c>
      <c r="D22" s="135" t="s">
        <v>5</v>
      </c>
    </row>
    <row r="23" spans="1:8" ht="27" customHeight="1" x14ac:dyDescent="0.25">
      <c r="A23" s="136" t="s">
        <v>58</v>
      </c>
      <c r="B23" s="137">
        <f>B5</f>
        <v>28</v>
      </c>
      <c r="C23" s="137">
        <f>$C$19</f>
        <v>13.55</v>
      </c>
      <c r="D23" s="137">
        <f>B23*C23</f>
        <v>379.40000000000003</v>
      </c>
    </row>
    <row r="24" spans="1:8" ht="27" customHeight="1" x14ac:dyDescent="0.25">
      <c r="A24" s="136" t="s">
        <v>59</v>
      </c>
      <c r="B24" s="137">
        <f>F18</f>
        <v>31</v>
      </c>
      <c r="C24" s="137">
        <f t="shared" ref="C24:C25" si="0">$C$19</f>
        <v>13.55</v>
      </c>
      <c r="D24" s="137">
        <f>B24*C24</f>
        <v>420.05</v>
      </c>
    </row>
    <row r="25" spans="1:8" ht="32.25" customHeight="1" x14ac:dyDescent="0.25">
      <c r="A25" s="138" t="s">
        <v>60</v>
      </c>
      <c r="B25" s="137">
        <f>B23-B24</f>
        <v>-3</v>
      </c>
      <c r="C25" s="137">
        <f t="shared" si="0"/>
        <v>13.55</v>
      </c>
      <c r="D25" s="137">
        <f>B25*C25</f>
        <v>-40.650000000000006</v>
      </c>
    </row>
  </sheetData>
  <mergeCells count="3">
    <mergeCell ref="A8:B8"/>
    <mergeCell ref="A9:A10"/>
    <mergeCell ref="A11:A1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7" workbookViewId="0">
      <selection activeCell="C31" sqref="C31"/>
    </sheetView>
  </sheetViews>
  <sheetFormatPr baseColWidth="10" defaultRowHeight="15" x14ac:dyDescent="0.25"/>
  <cols>
    <col min="1" max="1" width="19.5703125" style="82" customWidth="1"/>
    <col min="2" max="4" width="13.5703125" style="82" customWidth="1"/>
    <col min="5" max="5" width="15.7109375" style="82" customWidth="1"/>
    <col min="6" max="8" width="13.5703125" style="82" customWidth="1"/>
    <col min="9" max="16384" width="11.42578125" style="82"/>
  </cols>
  <sheetData>
    <row r="1" spans="1:10" ht="15.75" x14ac:dyDescent="0.25">
      <c r="A1" s="1" t="s">
        <v>0</v>
      </c>
      <c r="B1" s="113"/>
      <c r="C1" s="113"/>
      <c r="D1" s="113"/>
      <c r="E1" s="113"/>
      <c r="F1" s="115"/>
    </row>
    <row r="2" spans="1:10" ht="15.75" x14ac:dyDescent="0.25">
      <c r="A2" s="83" t="s">
        <v>61</v>
      </c>
      <c r="B2" s="84"/>
      <c r="C2" s="84"/>
      <c r="D2" s="84"/>
      <c r="E2" s="116"/>
    </row>
    <row r="3" spans="1:10" ht="15.75" x14ac:dyDescent="0.25">
      <c r="A3" s="85" t="s">
        <v>62</v>
      </c>
      <c r="B3" s="86"/>
      <c r="C3" s="86"/>
      <c r="D3" s="86"/>
      <c r="E3" s="87"/>
      <c r="G3" s="85" t="s">
        <v>63</v>
      </c>
      <c r="H3" s="87"/>
      <c r="I3" s="87"/>
      <c r="J3" s="87"/>
    </row>
    <row r="4" spans="1:10" ht="31.5" x14ac:dyDescent="0.25">
      <c r="A4" s="139"/>
      <c r="B4" s="123" t="s">
        <v>64</v>
      </c>
      <c r="C4" s="123" t="s">
        <v>65</v>
      </c>
      <c r="G4" s="140"/>
      <c r="H4" s="123" t="s">
        <v>64</v>
      </c>
      <c r="I4" s="123" t="s">
        <v>65</v>
      </c>
    </row>
    <row r="5" spans="1:10" ht="28.5" customHeight="1" x14ac:dyDescent="0.25">
      <c r="A5" s="141" t="s">
        <v>7</v>
      </c>
      <c r="B5" s="128">
        <v>2</v>
      </c>
      <c r="C5" s="128">
        <v>7</v>
      </c>
      <c r="G5" s="142" t="s">
        <v>66</v>
      </c>
      <c r="H5" s="139">
        <v>4.2</v>
      </c>
      <c r="I5" s="139">
        <v>3.24</v>
      </c>
    </row>
    <row r="6" spans="1:10" ht="28.5" customHeight="1" x14ac:dyDescent="0.25">
      <c r="A6" s="141" t="s">
        <v>67</v>
      </c>
      <c r="B6" s="128">
        <v>30</v>
      </c>
      <c r="C6" s="128">
        <v>16</v>
      </c>
      <c r="G6" s="142" t="s">
        <v>68</v>
      </c>
      <c r="H6" s="139">
        <v>4.8</v>
      </c>
      <c r="I6" s="139">
        <v>3.5</v>
      </c>
    </row>
    <row r="7" spans="1:10" ht="28.5" customHeight="1" x14ac:dyDescent="0.25">
      <c r="A7" s="141" t="s">
        <v>69</v>
      </c>
      <c r="B7" s="128">
        <v>25</v>
      </c>
      <c r="C7" s="128">
        <v>12</v>
      </c>
      <c r="E7" s="143"/>
    </row>
    <row r="8" spans="1:10" ht="28.5" customHeight="1" x14ac:dyDescent="0.25">
      <c r="A8" s="141" t="s">
        <v>70</v>
      </c>
      <c r="B8" s="139">
        <v>5</v>
      </c>
      <c r="C8" s="139">
        <v>10</v>
      </c>
    </row>
    <row r="10" spans="1:10" ht="15.75" x14ac:dyDescent="0.25">
      <c r="A10" s="94" t="s">
        <v>71</v>
      </c>
      <c r="B10" s="144"/>
      <c r="C10" s="144"/>
      <c r="D10" s="144"/>
      <c r="E10" s="144"/>
      <c r="F10" s="144"/>
    </row>
    <row r="11" spans="1:10" ht="31.5" x14ac:dyDescent="0.25">
      <c r="A11" s="145" t="s">
        <v>64</v>
      </c>
      <c r="B11" s="123" t="s">
        <v>39</v>
      </c>
      <c r="C11" s="123" t="s">
        <v>4</v>
      </c>
      <c r="D11" s="123" t="s">
        <v>5</v>
      </c>
      <c r="E11" s="124"/>
      <c r="F11" s="123" t="s">
        <v>39</v>
      </c>
      <c r="G11" s="123" t="s">
        <v>4</v>
      </c>
      <c r="H11" s="123" t="s">
        <v>5</v>
      </c>
    </row>
    <row r="12" spans="1:10" ht="27" customHeight="1" x14ac:dyDescent="0.25">
      <c r="A12" s="141" t="s">
        <v>7</v>
      </c>
      <c r="B12" s="128">
        <f>B5</f>
        <v>2</v>
      </c>
      <c r="C12" s="130">
        <f>H5</f>
        <v>4.2</v>
      </c>
      <c r="D12" s="130">
        <f>B12*C12</f>
        <v>8.4</v>
      </c>
      <c r="E12" s="146" t="s">
        <v>6</v>
      </c>
      <c r="F12" s="128">
        <f>B7</f>
        <v>25</v>
      </c>
      <c r="G12" s="130">
        <f>C14</f>
        <v>4.76</v>
      </c>
      <c r="H12" s="130">
        <f>F12*G12</f>
        <v>119</v>
      </c>
    </row>
    <row r="13" spans="1:10" ht="27" customHeight="1" x14ac:dyDescent="0.25">
      <c r="A13" s="141" t="s">
        <v>14</v>
      </c>
      <c r="B13" s="128">
        <f>B6</f>
        <v>30</v>
      </c>
      <c r="C13" s="130">
        <f>H6</f>
        <v>4.8</v>
      </c>
      <c r="D13" s="130">
        <f>B13*C13</f>
        <v>144</v>
      </c>
      <c r="E13" s="146" t="s">
        <v>72</v>
      </c>
      <c r="F13" s="128">
        <f>B14-F12</f>
        <v>7</v>
      </c>
      <c r="G13" s="130"/>
      <c r="H13" s="130">
        <f>D14-H12</f>
        <v>33.400000000000006</v>
      </c>
    </row>
    <row r="14" spans="1:10" ht="27" customHeight="1" x14ac:dyDescent="0.25">
      <c r="A14" s="141" t="s">
        <v>12</v>
      </c>
      <c r="B14" s="147">
        <f>SUM(B12:B13)</f>
        <v>32</v>
      </c>
      <c r="C14" s="131">
        <f>ROUND(D14/B14,2)</f>
        <v>4.76</v>
      </c>
      <c r="D14" s="130">
        <f>SUM(D12:D13)</f>
        <v>152.4</v>
      </c>
      <c r="E14" s="146" t="s">
        <v>12</v>
      </c>
      <c r="F14" s="147">
        <f>SUM(F12:F13)</f>
        <v>32</v>
      </c>
      <c r="G14" s="130">
        <f>ROUND(H14/F14,2)</f>
        <v>4.76</v>
      </c>
      <c r="H14" s="130">
        <f>SUM(H12:H13)</f>
        <v>152.4</v>
      </c>
    </row>
    <row r="15" spans="1:10" ht="27" customHeight="1" x14ac:dyDescent="0.25"/>
    <row r="16" spans="1:10" ht="32.25" customHeight="1" x14ac:dyDescent="0.25">
      <c r="A16" s="145" t="s">
        <v>65</v>
      </c>
      <c r="B16" s="123" t="s">
        <v>39</v>
      </c>
      <c r="C16" s="123" t="s">
        <v>4</v>
      </c>
      <c r="D16" s="123" t="s">
        <v>5</v>
      </c>
      <c r="E16" s="148"/>
      <c r="F16" s="123" t="s">
        <v>39</v>
      </c>
      <c r="G16" s="123" t="s">
        <v>4</v>
      </c>
      <c r="H16" s="123" t="s">
        <v>5</v>
      </c>
    </row>
    <row r="17" spans="1:12" ht="27" customHeight="1" x14ac:dyDescent="0.25">
      <c r="A17" s="141" t="s">
        <v>7</v>
      </c>
      <c r="B17" s="128">
        <f>C5</f>
        <v>7</v>
      </c>
      <c r="C17" s="130">
        <f>I5</f>
        <v>3.24</v>
      </c>
      <c r="D17" s="130">
        <f>B17*C17</f>
        <v>22.68</v>
      </c>
      <c r="E17" s="146" t="s">
        <v>6</v>
      </c>
      <c r="F17" s="128">
        <f>C7</f>
        <v>12</v>
      </c>
      <c r="G17" s="130">
        <f>C19</f>
        <v>3.42</v>
      </c>
      <c r="H17" s="130">
        <f>F17*G17</f>
        <v>41.04</v>
      </c>
    </row>
    <row r="18" spans="1:12" ht="27" customHeight="1" x14ac:dyDescent="0.25">
      <c r="A18" s="141" t="s">
        <v>14</v>
      </c>
      <c r="B18" s="128">
        <f>C6</f>
        <v>16</v>
      </c>
      <c r="C18" s="130">
        <f>I6</f>
        <v>3.5</v>
      </c>
      <c r="D18" s="130">
        <f>B18*C18</f>
        <v>56</v>
      </c>
      <c r="E18" s="146" t="s">
        <v>72</v>
      </c>
      <c r="F18" s="128">
        <f>B19-F17</f>
        <v>11</v>
      </c>
      <c r="G18" s="130"/>
      <c r="H18" s="130">
        <f>D19-H17</f>
        <v>37.640000000000008</v>
      </c>
    </row>
    <row r="19" spans="1:12" ht="27" customHeight="1" x14ac:dyDescent="0.25">
      <c r="A19" s="141" t="s">
        <v>12</v>
      </c>
      <c r="B19" s="128">
        <f>SUM(B17:B18)</f>
        <v>23</v>
      </c>
      <c r="C19" s="131">
        <f>ROUND(D19/B19,2)</f>
        <v>3.42</v>
      </c>
      <c r="D19" s="130">
        <f>SUM(D17:D18)</f>
        <v>78.680000000000007</v>
      </c>
      <c r="E19" s="146" t="s">
        <v>12</v>
      </c>
      <c r="F19" s="128">
        <f>SUM(F17:F18)</f>
        <v>23</v>
      </c>
      <c r="G19" s="130">
        <f>ROUND(H19/F19,2)</f>
        <v>3.42</v>
      </c>
      <c r="H19" s="130">
        <f>SUM(H17:H18)</f>
        <v>78.680000000000007</v>
      </c>
    </row>
    <row r="21" spans="1:12" ht="15.75" x14ac:dyDescent="0.25">
      <c r="A21" s="94" t="s">
        <v>73</v>
      </c>
      <c r="B21" s="94"/>
      <c r="C21" s="94"/>
      <c r="D21" s="94"/>
    </row>
    <row r="22" spans="1:12" ht="47.25" x14ac:dyDescent="0.25">
      <c r="A22" s="139"/>
      <c r="B22" s="88" t="s">
        <v>58</v>
      </c>
      <c r="C22" s="88" t="s">
        <v>56</v>
      </c>
      <c r="D22" s="88" t="s">
        <v>74</v>
      </c>
      <c r="E22" s="88" t="s">
        <v>4</v>
      </c>
      <c r="F22" s="88" t="s">
        <v>75</v>
      </c>
    </row>
    <row r="23" spans="1:12" ht="31.5" x14ac:dyDescent="0.25">
      <c r="A23" s="149" t="s">
        <v>64</v>
      </c>
      <c r="B23" s="128">
        <f>B8</f>
        <v>5</v>
      </c>
      <c r="C23" s="128">
        <f>F13</f>
        <v>7</v>
      </c>
      <c r="D23" s="128">
        <f>B23-C23</f>
        <v>-2</v>
      </c>
      <c r="E23" s="130">
        <f>C14</f>
        <v>4.76</v>
      </c>
      <c r="F23" s="128">
        <f>D23*E23</f>
        <v>-9.52</v>
      </c>
    </row>
    <row r="24" spans="1:12" ht="31.5" x14ac:dyDescent="0.25">
      <c r="A24" s="149" t="s">
        <v>65</v>
      </c>
      <c r="B24" s="128">
        <f>C8</f>
        <v>10</v>
      </c>
      <c r="C24" s="128">
        <f>F18</f>
        <v>11</v>
      </c>
      <c r="D24" s="128">
        <f>B24-C24</f>
        <v>-1</v>
      </c>
      <c r="E24" s="130">
        <f>C19</f>
        <v>3.42</v>
      </c>
      <c r="F24" s="128">
        <f>D24*E24</f>
        <v>-3.42</v>
      </c>
    </row>
    <row r="25" spans="1:12" ht="24.75" customHeight="1" x14ac:dyDescent="0.25">
      <c r="A25" s="150"/>
      <c r="B25" s="150"/>
      <c r="C25" s="150"/>
      <c r="D25" s="150"/>
      <c r="E25" s="151" t="s">
        <v>76</v>
      </c>
      <c r="F25" s="152">
        <f>SUM(F23:F24)</f>
        <v>-12.94</v>
      </c>
    </row>
    <row r="27" spans="1:12" ht="15.75" x14ac:dyDescent="0.25">
      <c r="A27" s="94" t="s">
        <v>77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5"/>
    </row>
    <row r="28" spans="1:12" ht="31.5" x14ac:dyDescent="0.25">
      <c r="A28" s="153"/>
      <c r="B28" s="154" t="s">
        <v>78</v>
      </c>
      <c r="C28" s="154" t="s">
        <v>79</v>
      </c>
    </row>
    <row r="29" spans="1:12" ht="32.25" customHeight="1" x14ac:dyDescent="0.25">
      <c r="A29" s="138" t="s">
        <v>80</v>
      </c>
      <c r="B29" s="137">
        <f>(B14+F13)/2</f>
        <v>19.5</v>
      </c>
      <c r="C29" s="137">
        <f>(B19+F18)/2</f>
        <v>17</v>
      </c>
    </row>
    <row r="30" spans="1:12" ht="32.25" customHeight="1" x14ac:dyDescent="0.25">
      <c r="A30" s="138" t="s">
        <v>81</v>
      </c>
      <c r="B30" s="155">
        <f>F12/B29</f>
        <v>1.2820512820512822</v>
      </c>
      <c r="C30" s="155">
        <f>F17/C29</f>
        <v>0.70588235294117652</v>
      </c>
    </row>
    <row r="31" spans="1:12" ht="32.25" customHeight="1" x14ac:dyDescent="0.25">
      <c r="A31" s="138" t="s">
        <v>82</v>
      </c>
      <c r="B31" s="137">
        <f xml:space="preserve"> 30/B30</f>
        <v>23.4</v>
      </c>
      <c r="C31" s="137">
        <f xml:space="preserve"> 30/C30</f>
        <v>42.5</v>
      </c>
    </row>
    <row r="33" spans="1:5" ht="15.75" x14ac:dyDescent="0.25">
      <c r="A33" s="94" t="s">
        <v>83</v>
      </c>
      <c r="B33" s="144"/>
      <c r="C33" s="144"/>
      <c r="D33" s="144"/>
      <c r="E33" s="9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4" workbookViewId="0">
      <selection activeCell="H16" sqref="H16"/>
    </sheetView>
  </sheetViews>
  <sheetFormatPr baseColWidth="10" defaultRowHeight="15.75" x14ac:dyDescent="0.25"/>
  <cols>
    <col min="1" max="1" width="15.140625" style="157" customWidth="1"/>
    <col min="2" max="11" width="13.7109375" style="157" customWidth="1"/>
    <col min="12" max="16384" width="11.42578125" style="157"/>
  </cols>
  <sheetData>
    <row r="1" spans="1:6" x14ac:dyDescent="0.25">
      <c r="A1" s="1" t="s">
        <v>0</v>
      </c>
      <c r="B1" s="113"/>
      <c r="C1" s="113"/>
      <c r="D1" s="113"/>
      <c r="E1" s="113"/>
      <c r="F1" s="156"/>
    </row>
    <row r="2" spans="1:6" x14ac:dyDescent="0.25">
      <c r="A2" s="83" t="s">
        <v>84</v>
      </c>
      <c r="B2" s="84"/>
      <c r="C2" s="84"/>
      <c r="D2" s="84"/>
      <c r="E2" s="116"/>
    </row>
    <row r="3" spans="1:6" s="159" customFormat="1" x14ac:dyDescent="0.25">
      <c r="A3" s="2"/>
      <c r="B3" s="158"/>
      <c r="C3" s="158"/>
      <c r="D3" s="158"/>
      <c r="E3" s="114"/>
    </row>
    <row r="4" spans="1:6" s="159" customFormat="1" x14ac:dyDescent="0.25">
      <c r="A4" s="117" t="s">
        <v>17</v>
      </c>
      <c r="B4" s="158"/>
      <c r="C4" s="158"/>
      <c r="D4" s="158"/>
      <c r="E4" s="114"/>
    </row>
    <row r="5" spans="1:6" s="159" customFormat="1" ht="31.5" x14ac:dyDescent="0.25">
      <c r="A5" s="157"/>
      <c r="B5" s="160" t="s">
        <v>85</v>
      </c>
      <c r="C5" s="160" t="s">
        <v>86</v>
      </c>
      <c r="D5" s="158"/>
      <c r="E5" s="114"/>
    </row>
    <row r="6" spans="1:6" s="159" customFormat="1" ht="31.5" x14ac:dyDescent="0.25">
      <c r="A6" s="161" t="s">
        <v>87</v>
      </c>
      <c r="B6" s="162">
        <v>10.5</v>
      </c>
      <c r="C6" s="162">
        <v>9.9</v>
      </c>
      <c r="D6" s="158"/>
      <c r="E6" s="114"/>
    </row>
    <row r="7" spans="1:6" s="159" customFormat="1" x14ac:dyDescent="0.25">
      <c r="A7" s="163"/>
      <c r="B7" s="164"/>
      <c r="C7" s="164"/>
      <c r="D7" s="158"/>
      <c r="E7" s="114"/>
    </row>
    <row r="8" spans="1:6" x14ac:dyDescent="0.25">
      <c r="A8" s="85" t="s">
        <v>88</v>
      </c>
      <c r="B8" s="165"/>
      <c r="C8" s="165"/>
      <c r="D8" s="165"/>
    </row>
    <row r="9" spans="1:6" ht="31.5" x14ac:dyDescent="0.25">
      <c r="A9" s="166"/>
      <c r="B9" s="216" t="s">
        <v>89</v>
      </c>
      <c r="C9" s="220"/>
      <c r="D9" s="145" t="s">
        <v>90</v>
      </c>
      <c r="E9" s="145" t="s">
        <v>91</v>
      </c>
      <c r="F9" s="145" t="s">
        <v>92</v>
      </c>
    </row>
    <row r="10" spans="1:6" x14ac:dyDescent="0.25">
      <c r="A10" s="167"/>
      <c r="B10" s="126" t="s">
        <v>93</v>
      </c>
      <c r="C10" s="126" t="s">
        <v>94</v>
      </c>
      <c r="D10" s="126" t="s">
        <v>93</v>
      </c>
      <c r="E10" s="126" t="s">
        <v>93</v>
      </c>
      <c r="F10" s="126" t="s">
        <v>93</v>
      </c>
    </row>
    <row r="11" spans="1:6" ht="28.5" customHeight="1" x14ac:dyDescent="0.25">
      <c r="A11" s="168" t="s">
        <v>85</v>
      </c>
      <c r="B11" s="128">
        <v>40</v>
      </c>
      <c r="C11" s="169">
        <v>6.68</v>
      </c>
      <c r="D11" s="128">
        <v>2</v>
      </c>
      <c r="E11" s="128">
        <v>10</v>
      </c>
      <c r="F11" s="128">
        <v>30</v>
      </c>
    </row>
    <row r="12" spans="1:6" ht="28.5" customHeight="1" x14ac:dyDescent="0.25">
      <c r="A12" s="168" t="s">
        <v>86</v>
      </c>
      <c r="B12" s="128">
        <v>58</v>
      </c>
      <c r="C12" s="169">
        <v>6.32</v>
      </c>
      <c r="D12" s="128">
        <v>4</v>
      </c>
      <c r="E12" s="128">
        <v>2</v>
      </c>
      <c r="F12" s="128">
        <v>10</v>
      </c>
    </row>
    <row r="14" spans="1:6" x14ac:dyDescent="0.25">
      <c r="A14" s="170"/>
      <c r="B14" s="216" t="s">
        <v>95</v>
      </c>
      <c r="C14" s="220"/>
      <c r="D14" s="216" t="s">
        <v>96</v>
      </c>
      <c r="E14" s="220"/>
    </row>
    <row r="15" spans="1:6" ht="31.5" x14ac:dyDescent="0.25">
      <c r="A15" s="170"/>
      <c r="B15" s="171" t="s">
        <v>97</v>
      </c>
      <c r="C15" s="126" t="s">
        <v>98</v>
      </c>
      <c r="D15" s="171" t="s">
        <v>97</v>
      </c>
      <c r="E15" s="126" t="s">
        <v>98</v>
      </c>
    </row>
    <row r="16" spans="1:6" ht="31.5" x14ac:dyDescent="0.25">
      <c r="A16" s="120" t="s">
        <v>85</v>
      </c>
      <c r="B16" s="152">
        <v>36</v>
      </c>
      <c r="C16" s="169">
        <v>6.7</v>
      </c>
      <c r="D16" s="128">
        <v>60</v>
      </c>
      <c r="E16" s="169">
        <v>6.6</v>
      </c>
    </row>
    <row r="17" spans="1:11" ht="31.5" x14ac:dyDescent="0.25">
      <c r="A17" s="120" t="s">
        <v>86</v>
      </c>
      <c r="B17" s="152">
        <v>48</v>
      </c>
      <c r="C17" s="169">
        <v>6.35</v>
      </c>
      <c r="D17" s="128">
        <v>72</v>
      </c>
      <c r="E17" s="169">
        <v>6.3</v>
      </c>
    </row>
    <row r="19" spans="1:11" x14ac:dyDescent="0.25">
      <c r="A19" s="94" t="s">
        <v>99</v>
      </c>
      <c r="B19" s="133"/>
      <c r="C19" s="133"/>
      <c r="D19" s="133"/>
      <c r="E19" s="133"/>
      <c r="F19" s="133"/>
    </row>
    <row r="20" spans="1:11" ht="31.5" x14ac:dyDescent="0.25">
      <c r="A20" s="166"/>
      <c r="B20" s="123" t="s">
        <v>89</v>
      </c>
      <c r="C20" s="123" t="s">
        <v>90</v>
      </c>
      <c r="D20" s="145" t="s">
        <v>100</v>
      </c>
      <c r="E20" s="123" t="s">
        <v>95</v>
      </c>
      <c r="F20" s="123" t="s">
        <v>91</v>
      </c>
      <c r="G20" s="145" t="s">
        <v>101</v>
      </c>
      <c r="H20" s="123" t="s">
        <v>96</v>
      </c>
      <c r="I20" s="123" t="s">
        <v>92</v>
      </c>
      <c r="J20" s="145" t="s">
        <v>102</v>
      </c>
      <c r="K20" s="145" t="s">
        <v>103</v>
      </c>
    </row>
    <row r="21" spans="1:11" ht="31.5" x14ac:dyDescent="0.25">
      <c r="A21" s="120" t="s">
        <v>85</v>
      </c>
      <c r="B21" s="128">
        <f>B11</f>
        <v>40</v>
      </c>
      <c r="C21" s="128">
        <f>D11</f>
        <v>2</v>
      </c>
      <c r="D21" s="127">
        <f>B21-C21</f>
        <v>38</v>
      </c>
      <c r="E21" s="128">
        <f>B16</f>
        <v>36</v>
      </c>
      <c r="F21" s="128">
        <f>E11</f>
        <v>10</v>
      </c>
      <c r="G21" s="127">
        <f>C21+E21-F21</f>
        <v>28</v>
      </c>
      <c r="H21" s="128">
        <f>D16</f>
        <v>60</v>
      </c>
      <c r="I21" s="128">
        <f>F11</f>
        <v>30</v>
      </c>
      <c r="J21" s="127">
        <f>F21+H21-I21</f>
        <v>40</v>
      </c>
      <c r="K21" s="127">
        <f>D21+J21+G21</f>
        <v>106</v>
      </c>
    </row>
    <row r="22" spans="1:11" ht="31.5" x14ac:dyDescent="0.25">
      <c r="A22" s="120" t="s">
        <v>86</v>
      </c>
      <c r="B22" s="128">
        <f>B12</f>
        <v>58</v>
      </c>
      <c r="C22" s="128">
        <f>D12</f>
        <v>4</v>
      </c>
      <c r="D22" s="127">
        <f>B22-C22</f>
        <v>54</v>
      </c>
      <c r="E22" s="128">
        <f>B17</f>
        <v>48</v>
      </c>
      <c r="F22" s="128">
        <f>E12</f>
        <v>2</v>
      </c>
      <c r="G22" s="127">
        <f>C22+E22-F22</f>
        <v>50</v>
      </c>
      <c r="H22" s="128">
        <f>D17</f>
        <v>72</v>
      </c>
      <c r="I22" s="128">
        <f>F12</f>
        <v>10</v>
      </c>
      <c r="J22" s="127">
        <f>F22+H22-I22</f>
        <v>64</v>
      </c>
      <c r="K22" s="127">
        <f>D22+J22+G22</f>
        <v>168</v>
      </c>
    </row>
    <row r="24" spans="1:11" x14ac:dyDescent="0.25">
      <c r="A24" s="172" t="s">
        <v>104</v>
      </c>
      <c r="B24" s="133"/>
      <c r="C24" s="133"/>
      <c r="D24" s="133"/>
      <c r="E24" s="133"/>
      <c r="F24" s="133"/>
      <c r="G24" s="133"/>
      <c r="H24" s="133"/>
      <c r="I24" s="133"/>
      <c r="J24" s="133"/>
    </row>
    <row r="25" spans="1:11" ht="60" x14ac:dyDescent="0.25">
      <c r="A25" s="173"/>
      <c r="B25" s="174" t="s">
        <v>105</v>
      </c>
      <c r="C25" s="174" t="s">
        <v>106</v>
      </c>
      <c r="D25" s="174" t="s">
        <v>81</v>
      </c>
    </row>
    <row r="26" spans="1:11" ht="31.5" x14ac:dyDescent="0.25">
      <c r="A26" s="120" t="s">
        <v>85</v>
      </c>
      <c r="B26" s="102">
        <f>(((B21+C21)+(C21+E21+F21)+(F21+H21+I21))/2)/3</f>
        <v>31.666666666666668</v>
      </c>
      <c r="C26" s="102">
        <f>(B26/K21)*30</f>
        <v>8.9622641509433958</v>
      </c>
      <c r="D26" s="102">
        <f>K21/B26</f>
        <v>3.3473684210526313</v>
      </c>
    </row>
    <row r="27" spans="1:11" ht="31.5" x14ac:dyDescent="0.25">
      <c r="A27" s="120" t="s">
        <v>86</v>
      </c>
      <c r="B27" s="102">
        <f>(((B22+C22)+(C22+E22+F22)+(F22+H22+I22))/2)/3</f>
        <v>33.333333333333336</v>
      </c>
      <c r="C27" s="102">
        <f>(B27/K22)*30</f>
        <v>5.9523809523809526</v>
      </c>
      <c r="D27" s="102">
        <f>K22/B27</f>
        <v>5.04</v>
      </c>
    </row>
    <row r="29" spans="1:11" x14ac:dyDescent="0.25">
      <c r="A29" s="94" t="s">
        <v>107</v>
      </c>
      <c r="B29" s="94"/>
      <c r="C29" s="94"/>
      <c r="D29" s="94"/>
      <c r="E29" s="94"/>
      <c r="F29" s="94"/>
      <c r="G29" s="94"/>
      <c r="H29" s="94"/>
    </row>
    <row r="30" spans="1:11" ht="31.5" x14ac:dyDescent="0.25">
      <c r="A30" s="175" t="s">
        <v>85</v>
      </c>
      <c r="B30" s="216" t="s">
        <v>43</v>
      </c>
      <c r="C30" s="217"/>
      <c r="D30" s="218"/>
      <c r="E30" s="219" t="s">
        <v>44</v>
      </c>
      <c r="F30" s="217"/>
      <c r="G30" s="218"/>
      <c r="H30" s="219" t="s">
        <v>108</v>
      </c>
      <c r="I30" s="217"/>
      <c r="J30" s="218"/>
    </row>
    <row r="31" spans="1:11" ht="15.75" customHeight="1" x14ac:dyDescent="0.25">
      <c r="A31" s="176" t="s">
        <v>41</v>
      </c>
      <c r="B31" s="177" t="s">
        <v>109</v>
      </c>
      <c r="C31" s="177" t="s">
        <v>110</v>
      </c>
      <c r="D31" s="177" t="s">
        <v>5</v>
      </c>
      <c r="E31" s="177" t="s">
        <v>109</v>
      </c>
      <c r="F31" s="177" t="s">
        <v>110</v>
      </c>
      <c r="G31" s="177" t="s">
        <v>5</v>
      </c>
      <c r="H31" s="177" t="s">
        <v>109</v>
      </c>
      <c r="I31" s="177" t="s">
        <v>110</v>
      </c>
      <c r="J31" s="177" t="s">
        <v>5</v>
      </c>
    </row>
    <row r="32" spans="1:11" ht="30" customHeight="1" x14ac:dyDescent="0.25">
      <c r="A32" s="126" t="s">
        <v>7</v>
      </c>
      <c r="B32" s="126"/>
      <c r="C32" s="126"/>
      <c r="D32" s="126"/>
      <c r="E32" s="126"/>
      <c r="F32" s="126"/>
      <c r="G32" s="126"/>
      <c r="H32" s="126">
        <f>B11</f>
        <v>40</v>
      </c>
      <c r="I32" s="178">
        <f>C11</f>
        <v>6.68</v>
      </c>
      <c r="J32" s="126">
        <f>H32*I32</f>
        <v>267.2</v>
      </c>
    </row>
    <row r="33" spans="1:10" ht="30" customHeight="1" x14ac:dyDescent="0.25">
      <c r="A33" s="177" t="s">
        <v>111</v>
      </c>
      <c r="B33" s="126"/>
      <c r="C33" s="126"/>
      <c r="D33" s="126"/>
      <c r="E33" s="126">
        <f>D21</f>
        <v>38</v>
      </c>
      <c r="F33" s="179">
        <f>I32</f>
        <v>6.68</v>
      </c>
      <c r="G33" s="126">
        <f>E33*F33</f>
        <v>253.83999999999997</v>
      </c>
      <c r="H33" s="126">
        <f>H32+B33-E33</f>
        <v>2</v>
      </c>
      <c r="I33" s="179">
        <f>F33</f>
        <v>6.68</v>
      </c>
      <c r="J33" s="126">
        <f>J32+D33-G33</f>
        <v>13.360000000000014</v>
      </c>
    </row>
    <row r="34" spans="1:10" ht="30" customHeight="1" x14ac:dyDescent="0.25">
      <c r="A34" s="126" t="s">
        <v>112</v>
      </c>
      <c r="B34" s="126">
        <f>E21</f>
        <v>36</v>
      </c>
      <c r="C34" s="179">
        <f>C16</f>
        <v>6.7</v>
      </c>
      <c r="D34" s="126">
        <f>B34*C34</f>
        <v>241.20000000000002</v>
      </c>
      <c r="E34" s="126"/>
      <c r="F34" s="126"/>
      <c r="G34" s="126"/>
      <c r="H34" s="126">
        <f>H33+B34-E34</f>
        <v>38</v>
      </c>
      <c r="I34" s="179">
        <f>ROUND((J33+D34)/(H33+B34),2)</f>
        <v>6.7</v>
      </c>
      <c r="J34" s="126">
        <f>J33+D34-G34</f>
        <v>254.56000000000003</v>
      </c>
    </row>
    <row r="35" spans="1:10" ht="30" customHeight="1" x14ac:dyDescent="0.25">
      <c r="A35" s="177" t="s">
        <v>113</v>
      </c>
      <c r="B35" s="126"/>
      <c r="C35" s="126"/>
      <c r="D35" s="126"/>
      <c r="E35" s="126">
        <f>G21</f>
        <v>28</v>
      </c>
      <c r="F35" s="179">
        <f>ROUND((J34+D35)/(H34+B35),2)</f>
        <v>6.7</v>
      </c>
      <c r="G35" s="180">
        <f>E35*F35</f>
        <v>187.6</v>
      </c>
      <c r="H35" s="126">
        <f>H34+B35-E35</f>
        <v>10</v>
      </c>
      <c r="I35" s="179">
        <f>F35</f>
        <v>6.7</v>
      </c>
      <c r="J35" s="126">
        <f>J34+D35-G35</f>
        <v>66.960000000000036</v>
      </c>
    </row>
    <row r="36" spans="1:10" ht="30" customHeight="1" x14ac:dyDescent="0.25">
      <c r="A36" s="177" t="s">
        <v>96</v>
      </c>
      <c r="B36" s="126">
        <f>D16</f>
        <v>60</v>
      </c>
      <c r="C36" s="179">
        <f>E16</f>
        <v>6.6</v>
      </c>
      <c r="D36" s="126">
        <f>B36*C36</f>
        <v>396</v>
      </c>
      <c r="E36" s="126"/>
      <c r="F36" s="126"/>
      <c r="G36" s="126"/>
      <c r="H36" s="126">
        <f>H35+B36-E36</f>
        <v>70</v>
      </c>
      <c r="I36" s="179">
        <f>ROUND((J35+D36)/(H35+B36),2)</f>
        <v>6.61</v>
      </c>
      <c r="J36" s="126">
        <f>J35+D36-G36</f>
        <v>462.96000000000004</v>
      </c>
    </row>
    <row r="37" spans="1:10" ht="30" customHeight="1" x14ac:dyDescent="0.25">
      <c r="A37" s="177" t="s">
        <v>114</v>
      </c>
      <c r="B37" s="126"/>
      <c r="C37" s="126"/>
      <c r="D37" s="126"/>
      <c r="E37" s="126">
        <f>J21</f>
        <v>40</v>
      </c>
      <c r="F37" s="179">
        <f>ROUND((J36+D37)/(H36+B37),2)</f>
        <v>6.61</v>
      </c>
      <c r="G37" s="126">
        <f>E37*F37</f>
        <v>264.40000000000003</v>
      </c>
      <c r="H37" s="126">
        <f>H36+B37-E37</f>
        <v>30</v>
      </c>
      <c r="I37" s="179">
        <f>F37</f>
        <v>6.61</v>
      </c>
      <c r="J37" s="126">
        <f>J36+D37-G37</f>
        <v>198.56</v>
      </c>
    </row>
    <row r="38" spans="1:10" x14ac:dyDescent="0.25">
      <c r="A38" s="181" t="s">
        <v>12</v>
      </c>
      <c r="B38" s="126">
        <f>SUM(B33:B36)</f>
        <v>96</v>
      </c>
      <c r="C38" s="126"/>
      <c r="D38" s="126">
        <f>SUM(D33:D36)</f>
        <v>637.20000000000005</v>
      </c>
      <c r="E38" s="126">
        <f>SUM(E33:E37)</f>
        <v>106</v>
      </c>
      <c r="F38" s="126"/>
      <c r="G38" s="126">
        <f>SUM(G33:G37)</f>
        <v>705.83999999999992</v>
      </c>
      <c r="H38" s="126">
        <f>H32+B38-E38</f>
        <v>30</v>
      </c>
      <c r="I38" s="126"/>
      <c r="J38" s="126"/>
    </row>
    <row r="40" spans="1:10" ht="31.5" x14ac:dyDescent="0.25">
      <c r="A40" s="175" t="s">
        <v>86</v>
      </c>
      <c r="B40" s="216" t="s">
        <v>43</v>
      </c>
      <c r="C40" s="217"/>
      <c r="D40" s="218"/>
      <c r="E40" s="219" t="s">
        <v>44</v>
      </c>
      <c r="F40" s="217"/>
      <c r="G40" s="218"/>
      <c r="H40" s="219" t="s">
        <v>108</v>
      </c>
      <c r="I40" s="217"/>
      <c r="J40" s="218"/>
    </row>
    <row r="41" spans="1:10" x14ac:dyDescent="0.25">
      <c r="A41" s="176" t="s">
        <v>41</v>
      </c>
      <c r="B41" s="177" t="s">
        <v>109</v>
      </c>
      <c r="C41" s="177" t="s">
        <v>110</v>
      </c>
      <c r="D41" s="177" t="s">
        <v>5</v>
      </c>
      <c r="E41" s="177" t="s">
        <v>109</v>
      </c>
      <c r="F41" s="177" t="s">
        <v>110</v>
      </c>
      <c r="G41" s="177" t="s">
        <v>5</v>
      </c>
      <c r="H41" s="177" t="s">
        <v>109</v>
      </c>
      <c r="I41" s="177" t="s">
        <v>110</v>
      </c>
      <c r="J41" s="177" t="s">
        <v>5</v>
      </c>
    </row>
    <row r="42" spans="1:10" ht="30" customHeight="1" x14ac:dyDescent="0.25">
      <c r="A42" s="177" t="s">
        <v>7</v>
      </c>
      <c r="B42" s="126"/>
      <c r="C42" s="126"/>
      <c r="D42" s="126"/>
      <c r="E42" s="126"/>
      <c r="F42" s="126"/>
      <c r="G42" s="126"/>
      <c r="H42" s="126">
        <f>B22</f>
        <v>58</v>
      </c>
      <c r="I42" s="178">
        <f>C12</f>
        <v>6.32</v>
      </c>
      <c r="J42" s="126">
        <f>H42*I42</f>
        <v>366.56</v>
      </c>
    </row>
    <row r="43" spans="1:10" ht="30" customHeight="1" x14ac:dyDescent="0.25">
      <c r="A43" s="177" t="s">
        <v>111</v>
      </c>
      <c r="B43" s="126"/>
      <c r="C43" s="126"/>
      <c r="D43" s="126"/>
      <c r="E43" s="126">
        <f>D22</f>
        <v>54</v>
      </c>
      <c r="F43" s="179">
        <f>I42</f>
        <v>6.32</v>
      </c>
      <c r="G43" s="126">
        <f>E43*F43</f>
        <v>341.28000000000003</v>
      </c>
      <c r="H43" s="126">
        <f>H42+B43-E43</f>
        <v>4</v>
      </c>
      <c r="I43" s="179">
        <f>F43</f>
        <v>6.32</v>
      </c>
      <c r="J43" s="126">
        <f>J42+D43-G43</f>
        <v>25.279999999999973</v>
      </c>
    </row>
    <row r="44" spans="1:10" ht="30" customHeight="1" x14ac:dyDescent="0.25">
      <c r="A44" s="177" t="s">
        <v>112</v>
      </c>
      <c r="B44" s="126">
        <f>E22</f>
        <v>48</v>
      </c>
      <c r="C44" s="179">
        <f>C17</f>
        <v>6.35</v>
      </c>
      <c r="D44" s="126">
        <f>B44*C44</f>
        <v>304.79999999999995</v>
      </c>
      <c r="E44" s="126"/>
      <c r="F44" s="126"/>
      <c r="G44" s="126"/>
      <c r="H44" s="126">
        <f>H43+B44-E44</f>
        <v>52</v>
      </c>
      <c r="I44" s="179">
        <f>ROUND((J43+D44)/(H43+B44),2)</f>
        <v>6.35</v>
      </c>
      <c r="J44" s="126">
        <f>J43+D44-G44</f>
        <v>330.07999999999993</v>
      </c>
    </row>
    <row r="45" spans="1:10" ht="30" customHeight="1" x14ac:dyDescent="0.25">
      <c r="A45" s="177" t="s">
        <v>113</v>
      </c>
      <c r="B45" s="126"/>
      <c r="C45" s="126"/>
      <c r="D45" s="126"/>
      <c r="E45" s="126">
        <f>G22</f>
        <v>50</v>
      </c>
      <c r="F45" s="179">
        <f>ROUND((J44+D45)/(H44+B45),2)</f>
        <v>6.35</v>
      </c>
      <c r="G45" s="180">
        <f>E45*F45</f>
        <v>317.5</v>
      </c>
      <c r="H45" s="126">
        <f>H44+B45-E45</f>
        <v>2</v>
      </c>
      <c r="I45" s="179">
        <f>F45</f>
        <v>6.35</v>
      </c>
      <c r="J45" s="126">
        <f>J44+D45-G45</f>
        <v>12.579999999999927</v>
      </c>
    </row>
    <row r="46" spans="1:10" ht="30" customHeight="1" x14ac:dyDescent="0.25">
      <c r="A46" s="177" t="s">
        <v>96</v>
      </c>
      <c r="B46" s="126">
        <f>H22</f>
        <v>72</v>
      </c>
      <c r="C46" s="179">
        <f>E17</f>
        <v>6.3</v>
      </c>
      <c r="D46" s="126">
        <f>B46*C46</f>
        <v>453.59999999999997</v>
      </c>
      <c r="E46" s="126"/>
      <c r="F46" s="126"/>
      <c r="G46" s="126"/>
      <c r="H46" s="126">
        <f>H45+B46-E46</f>
        <v>74</v>
      </c>
      <c r="I46" s="179">
        <f>ROUND((J45+D46)/(H45+B46),2)</f>
        <v>6.3</v>
      </c>
      <c r="J46" s="126">
        <f>J45+D46-G46</f>
        <v>466.17999999999989</v>
      </c>
    </row>
    <row r="47" spans="1:10" ht="30" customHeight="1" x14ac:dyDescent="0.25">
      <c r="A47" s="177" t="s">
        <v>114</v>
      </c>
      <c r="B47" s="126"/>
      <c r="C47" s="126"/>
      <c r="D47" s="126"/>
      <c r="E47" s="126">
        <f>J22</f>
        <v>64</v>
      </c>
      <c r="F47" s="179">
        <f>ROUND((J46+D47)/(H46+B47),2)</f>
        <v>6.3</v>
      </c>
      <c r="G47" s="126">
        <f>E47*F47</f>
        <v>403.2</v>
      </c>
      <c r="H47" s="126">
        <f>H46+B47-E47</f>
        <v>10</v>
      </c>
      <c r="I47" s="179">
        <f>F47</f>
        <v>6.3</v>
      </c>
      <c r="J47" s="126">
        <f>J46+D47-G47</f>
        <v>62.979999999999905</v>
      </c>
    </row>
    <row r="48" spans="1:10" x14ac:dyDescent="0.25">
      <c r="A48" s="181" t="s">
        <v>12</v>
      </c>
      <c r="B48" s="126">
        <f>SUM(B43:B46)</f>
        <v>120</v>
      </c>
      <c r="C48" s="126"/>
      <c r="D48" s="126">
        <f>SUM(D43:D46)</f>
        <v>758.39999999999986</v>
      </c>
      <c r="E48" s="126">
        <f>SUM(E43:E47)</f>
        <v>168</v>
      </c>
      <c r="F48" s="126"/>
      <c r="G48" s="126">
        <f>SUM(G43:G47)</f>
        <v>1061.98</v>
      </c>
      <c r="H48" s="126">
        <f>H42+B48-E48</f>
        <v>10</v>
      </c>
      <c r="I48" s="126"/>
      <c r="J48" s="126"/>
    </row>
    <row r="50" spans="1:12" x14ac:dyDescent="0.25">
      <c r="A50" s="94" t="s">
        <v>115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</row>
    <row r="51" spans="1:12" ht="31.5" x14ac:dyDescent="0.25">
      <c r="A51" s="170"/>
      <c r="B51" s="107" t="s">
        <v>85</v>
      </c>
      <c r="C51" s="107" t="s">
        <v>86</v>
      </c>
    </row>
    <row r="52" spans="1:12" ht="33.75" customHeight="1" x14ac:dyDescent="0.25">
      <c r="A52" s="182" t="s">
        <v>87</v>
      </c>
      <c r="B52" s="162">
        <f>B6</f>
        <v>10.5</v>
      </c>
      <c r="C52" s="162">
        <f>C6</f>
        <v>9.9</v>
      </c>
    </row>
    <row r="53" spans="1:12" ht="33.75" customHeight="1" x14ac:dyDescent="0.25">
      <c r="A53" s="182" t="s">
        <v>116</v>
      </c>
      <c r="B53" s="183">
        <f>ROUND(B52/1.2,2)</f>
        <v>8.75</v>
      </c>
      <c r="C53" s="183">
        <f>ROUND(C52/1.2,2)</f>
        <v>8.25</v>
      </c>
    </row>
    <row r="54" spans="1:12" ht="33.75" customHeight="1" x14ac:dyDescent="0.25">
      <c r="A54" s="182" t="s">
        <v>117</v>
      </c>
      <c r="B54" s="183">
        <f>B53*K21</f>
        <v>927.5</v>
      </c>
      <c r="C54" s="183">
        <f>C53*K22</f>
        <v>1386</v>
      </c>
    </row>
    <row r="55" spans="1:12" ht="33.75" customHeight="1" x14ac:dyDescent="0.25">
      <c r="A55" s="182" t="s">
        <v>118</v>
      </c>
      <c r="B55" s="183">
        <f>G38</f>
        <v>705.83999999999992</v>
      </c>
      <c r="C55" s="183">
        <f>G48</f>
        <v>1061.98</v>
      </c>
    </row>
    <row r="56" spans="1:12" ht="33.75" customHeight="1" x14ac:dyDescent="0.25">
      <c r="A56" s="182" t="s">
        <v>119</v>
      </c>
      <c r="B56" s="183">
        <f>B54-B55</f>
        <v>221.66000000000008</v>
      </c>
      <c r="C56" s="183">
        <f>C54-C55</f>
        <v>324.02</v>
      </c>
    </row>
  </sheetData>
  <mergeCells count="9">
    <mergeCell ref="B40:D40"/>
    <mergeCell ref="E40:G40"/>
    <mergeCell ref="H40:J40"/>
    <mergeCell ref="B9:C9"/>
    <mergeCell ref="B14:C14"/>
    <mergeCell ref="D14:E14"/>
    <mergeCell ref="B30:D30"/>
    <mergeCell ref="E30:G30"/>
    <mergeCell ref="H30:J3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Ex 1 Chap 5</vt:lpstr>
      <vt:lpstr>Ex 2 Chap 5</vt:lpstr>
      <vt:lpstr>Ex 3 Chap 5</vt:lpstr>
      <vt:lpstr>Ex 4 Chap 5</vt:lpstr>
      <vt:lpstr>Ex 5 Chap 5</vt:lpstr>
      <vt:lpstr>Ex 6 Chap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COÏC</dc:creator>
  <cp:lastModifiedBy>Bernard COÏC</cp:lastModifiedBy>
  <dcterms:created xsi:type="dcterms:W3CDTF">2021-11-04T10:58:27Z</dcterms:created>
  <dcterms:modified xsi:type="dcterms:W3CDTF">2021-11-09T17:33:46Z</dcterms:modified>
</cp:coreProperties>
</file>