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fa\Documents\Foucher 2021\BLOC 3 2021 AVEC CORRECTIONS\CHAPITRES CORRIGES 2021 BLOC 3 PDF\BLOC 3 FICHIERS EXCEL\"/>
    </mc:Choice>
  </mc:AlternateContent>
  <bookViews>
    <workbookView xWindow="960" yWindow="945" windowWidth="16995" windowHeight="6570"/>
  </bookViews>
  <sheets>
    <sheet name="Corrigé Exercice1 - CH19" sheetId="5" r:id="rId1"/>
    <sheet name="Corrigé Exercice 2 - CH19" sheetId="6" r:id="rId2"/>
    <sheet name="Corrigé Exercice 3 - CH19" sheetId="7" r:id="rId3"/>
    <sheet name="Corrigé Exercice 4 - CH19" sheetId="8" r:id="rId4"/>
    <sheet name="Corrigé Exercice 5 - CH19" sheetId="9" r:id="rId5"/>
  </sheets>
  <calcPr calcId="162913"/>
</workbook>
</file>

<file path=xl/calcChain.xml><?xml version="1.0" encoding="utf-8"?>
<calcChain xmlns="http://schemas.openxmlformats.org/spreadsheetml/2006/main">
  <c r="B52" i="9" l="1"/>
  <c r="D48" i="9"/>
  <c r="C48" i="9"/>
  <c r="B48" i="9"/>
  <c r="D47" i="9"/>
  <c r="C47" i="9"/>
  <c r="B47" i="9"/>
  <c r="D46" i="9"/>
  <c r="C46" i="9"/>
  <c r="B46" i="9"/>
  <c r="D45" i="9"/>
  <c r="C45" i="9"/>
  <c r="B45" i="9"/>
  <c r="D44" i="9"/>
  <c r="D43" i="9"/>
  <c r="D49" i="9" s="1"/>
  <c r="D54" i="9" s="1"/>
  <c r="C43" i="9"/>
  <c r="C42" i="9"/>
  <c r="C49" i="9" s="1"/>
  <c r="C54" i="9" s="1"/>
  <c r="B42" i="9"/>
  <c r="B49" i="9" s="1"/>
  <c r="B54" i="9" s="1"/>
  <c r="D38" i="9"/>
  <c r="C38" i="9"/>
  <c r="D37" i="9"/>
  <c r="D39" i="9" s="1"/>
  <c r="D53" i="9" s="1"/>
  <c r="C37" i="9"/>
  <c r="C39" i="9" s="1"/>
  <c r="C53" i="9" s="1"/>
  <c r="B37" i="9"/>
  <c r="B36" i="9"/>
  <c r="B39" i="9" s="1"/>
  <c r="B53" i="9" s="1"/>
  <c r="B42" i="8"/>
  <c r="D37" i="8"/>
  <c r="D36" i="8"/>
  <c r="C36" i="8"/>
  <c r="B36" i="8"/>
  <c r="D35" i="8"/>
  <c r="C35" i="8"/>
  <c r="B35" i="8"/>
  <c r="D34" i="8"/>
  <c r="C34" i="8"/>
  <c r="B34" i="8"/>
  <c r="D33" i="8"/>
  <c r="C33" i="8"/>
  <c r="B33" i="8"/>
  <c r="D32" i="8"/>
  <c r="D31" i="8"/>
  <c r="D38" i="8" s="1"/>
  <c r="D44" i="8" s="1"/>
  <c r="C31" i="8"/>
  <c r="C30" i="8"/>
  <c r="C38" i="8" s="1"/>
  <c r="C44" i="8" s="1"/>
  <c r="B30" i="8"/>
  <c r="B38" i="8" s="1"/>
  <c r="B44" i="8" s="1"/>
  <c r="B27" i="8"/>
  <c r="B43" i="8" s="1"/>
  <c r="D26" i="8"/>
  <c r="C26" i="8"/>
  <c r="D25" i="8"/>
  <c r="D27" i="8" s="1"/>
  <c r="D43" i="8" s="1"/>
  <c r="C25" i="8"/>
  <c r="C27" i="8" s="1"/>
  <c r="C43" i="8" s="1"/>
  <c r="B25" i="8"/>
  <c r="B24" i="8"/>
  <c r="B44" i="7"/>
  <c r="D27" i="7"/>
  <c r="D25" i="7" s="1"/>
  <c r="D32" i="7" s="1"/>
  <c r="C27" i="7"/>
  <c r="C25" i="7" s="1"/>
  <c r="C32" i="7" s="1"/>
  <c r="B27" i="7"/>
  <c r="B26" i="7" s="1"/>
  <c r="B37" i="7" s="1"/>
  <c r="C26" i="7"/>
  <c r="C37" i="7" s="1"/>
  <c r="B25" i="7"/>
  <c r="B32" i="7" s="1"/>
  <c r="C28" i="6"/>
  <c r="C35" i="6" s="1"/>
  <c r="C27" i="6"/>
  <c r="C34" i="6" s="1"/>
  <c r="B27" i="6"/>
  <c r="B34" i="6" s="1"/>
  <c r="B26" i="6"/>
  <c r="B33" i="6" s="1"/>
  <c r="B36" i="6" s="1"/>
  <c r="D25" i="6"/>
  <c r="D26" i="6" s="1"/>
  <c r="D33" i="6" s="1"/>
  <c r="C25" i="6"/>
  <c r="C26" i="6" s="1"/>
  <c r="C33" i="6" s="1"/>
  <c r="C36" i="6" s="1"/>
  <c r="B25" i="6"/>
  <c r="B28" i="6" s="1"/>
  <c r="B35" i="6" s="1"/>
  <c r="B55" i="9" l="1"/>
  <c r="C52" i="9" s="1"/>
  <c r="C55" i="9" s="1"/>
  <c r="D52" i="9" s="1"/>
  <c r="D55" i="9" s="1"/>
  <c r="B45" i="8"/>
  <c r="C42" i="8" s="1"/>
  <c r="C45" i="8" s="1"/>
  <c r="D42" i="8" s="1"/>
  <c r="D45" i="8" s="1"/>
  <c r="C33" i="7"/>
  <c r="C34" i="7"/>
  <c r="D45" i="7" s="1"/>
  <c r="B38" i="7"/>
  <c r="B39" i="7" s="1"/>
  <c r="B46" i="7" s="1"/>
  <c r="B47" i="7" s="1"/>
  <c r="B33" i="7"/>
  <c r="B34" i="7" s="1"/>
  <c r="C45" i="7" s="1"/>
  <c r="C47" i="7" s="1"/>
  <c r="D33" i="7"/>
  <c r="D34" i="7"/>
  <c r="C38" i="7"/>
  <c r="C39" i="7"/>
  <c r="C46" i="7" s="1"/>
  <c r="D26" i="7"/>
  <c r="D37" i="7" s="1"/>
  <c r="B37" i="6"/>
  <c r="B38" i="6"/>
  <c r="C37" i="6"/>
  <c r="C38" i="6"/>
  <c r="D28" i="6"/>
  <c r="D35" i="6" s="1"/>
  <c r="D27" i="6"/>
  <c r="D34" i="6" s="1"/>
  <c r="D36" i="6" s="1"/>
  <c r="D38" i="7" l="1"/>
  <c r="D39" i="7"/>
  <c r="D46" i="7" s="1"/>
  <c r="D47" i="7"/>
  <c r="D37" i="6"/>
  <c r="D38" i="6" s="1"/>
  <c r="D14" i="5" l="1"/>
  <c r="D15" i="5" s="1"/>
  <c r="D16" i="5" s="1"/>
  <c r="C14" i="5"/>
  <c r="C15" i="5" s="1"/>
  <c r="C16" i="5" s="1"/>
  <c r="B14" i="5"/>
  <c r="B20" i="5" s="1"/>
  <c r="B21" i="5" s="1"/>
  <c r="B22" i="5" s="1"/>
  <c r="C20" i="5" l="1"/>
  <c r="C21" i="5" s="1"/>
  <c r="C22" i="5" s="1"/>
  <c r="D20" i="5"/>
  <c r="D21" i="5" s="1"/>
  <c r="D22" i="5" s="1"/>
  <c r="B15" i="5"/>
  <c r="B16" i="5" s="1"/>
</calcChain>
</file>

<file path=xl/sharedStrings.xml><?xml version="1.0" encoding="utf-8"?>
<sst xmlns="http://schemas.openxmlformats.org/spreadsheetml/2006/main" count="242" uniqueCount="158">
  <si>
    <t>Mars</t>
  </si>
  <si>
    <t>Coefficients saisonniers</t>
  </si>
  <si>
    <t>Budget des ventes</t>
  </si>
  <si>
    <t>Achats TTC</t>
  </si>
  <si>
    <t>Exercice 1</t>
  </si>
  <si>
    <t>CHAP 19 ETABLIR ET SUIVRE LES BUDGETS</t>
  </si>
  <si>
    <t>janvier</t>
  </si>
  <si>
    <t>février</t>
  </si>
  <si>
    <t>mars</t>
  </si>
  <si>
    <t>Chiffre d’affaires prévisionnel HT de l'année à venir:</t>
  </si>
  <si>
    <t>Janvier</t>
  </si>
  <si>
    <t>Février</t>
  </si>
  <si>
    <t>Prévision des ventes HT</t>
  </si>
  <si>
    <t>TVA</t>
  </si>
  <si>
    <t>Ventes TTC</t>
  </si>
  <si>
    <t>Taux de marque moyen:</t>
  </si>
  <si>
    <t>1. Établissez le budget des ventes pour le premier trimestre de l’année à venir.</t>
  </si>
  <si>
    <t>2. Établissez le budget des approvisionnements pour le premier trimestre de l’année à venir.</t>
  </si>
  <si>
    <t>Achats HT</t>
  </si>
  <si>
    <t>Budget des approvisionnements</t>
  </si>
  <si>
    <t>Exercice 2</t>
  </si>
  <si>
    <t>Ressource 1: Statistiques des ventes du second semestre de l’année passée</t>
  </si>
  <si>
    <t>Quantités vendues en N par mois et par modèle</t>
  </si>
  <si>
    <t xml:space="preserve"> Avril </t>
  </si>
  <si>
    <t xml:space="preserve"> Mai </t>
  </si>
  <si>
    <t xml:space="preserve"> Juin </t>
  </si>
  <si>
    <t xml:space="preserve"> Quantités vendues  </t>
  </si>
  <si>
    <t xml:space="preserve">% </t>
  </si>
  <si>
    <t>Modèle « Découverte »</t>
  </si>
  <si>
    <t>Modèle « Free style »</t>
  </si>
  <si>
    <t>Modèle « Rider »</t>
  </si>
  <si>
    <t xml:space="preserve">Total  </t>
  </si>
  <si>
    <t>avril</t>
  </si>
  <si>
    <t>mai</t>
  </si>
  <si>
    <t>juin</t>
  </si>
  <si>
    <t>Coefficients saisonniers mensuels</t>
  </si>
  <si>
    <t>Ressource 2 : Prévisions pour l’année N+1</t>
  </si>
  <si>
    <t>Objectifs des ventes pour N+1 en nombre de paires de rollers</t>
  </si>
  <si>
    <t>Modèle</t>
  </si>
  <si>
    <t xml:space="preserve"> « Découverte »</t>
  </si>
  <si>
    <t>« Free style »</t>
  </si>
  <si>
    <t>« Rider »</t>
  </si>
  <si>
    <t>Prix de vente consommateur (PVC) prévus pour N+1 (TVA 20%)</t>
  </si>
  <si>
    <t>1. Calculez les prévisions des ventes des différents modèles de rollers de la marque de distributeur (en quantité) pour les mois d’avril, mai et juin de l’année N+1.</t>
  </si>
  <si>
    <t>Avril</t>
  </si>
  <si>
    <t>Mai</t>
  </si>
  <si>
    <t>Juin</t>
  </si>
  <si>
    <t>Prévision mensuelle tous modèles</t>
  </si>
  <si>
    <t>Modèle Découverte</t>
  </si>
  <si>
    <t>Modèle Free style</t>
  </si>
  <si>
    <t>Modèle Rider</t>
  </si>
  <si>
    <t>2. Établissez le budget des ventes par mois et par modèle.</t>
  </si>
  <si>
    <t>Budget TTC Modèle Découverte</t>
  </si>
  <si>
    <t>Budget TTC Modèle Free style</t>
  </si>
  <si>
    <t>Budget TTC Modèle Rider</t>
  </si>
  <si>
    <t>Total budget TTC</t>
  </si>
  <si>
    <t>Total budget HT</t>
  </si>
  <si>
    <t>TVA collectée</t>
  </si>
  <si>
    <t>Exercice 3</t>
  </si>
  <si>
    <t>Ressource 1 : Prévisions des ventes</t>
  </si>
  <si>
    <t>Prix de vente unitaire HT (TVA 20%) de la pompe:</t>
  </si>
  <si>
    <t>Créances clients à fin décembre N, à encaisser en janvier N+1:</t>
  </si>
  <si>
    <t xml:space="preserve">Prévision annuelle des ventes pour N+1 en quantités : </t>
  </si>
  <si>
    <t>Coefficients Saisonniers (Indices)</t>
  </si>
  <si>
    <t>Ressource 2 : Répartition des ventes et conditions commerciales accordées aux différentes catégories de clients :</t>
  </si>
  <si>
    <t>Répartition du CA</t>
  </si>
  <si>
    <t>Conditions commerciales accordées aux clients</t>
  </si>
  <si>
    <t>Remises</t>
  </si>
  <si>
    <t xml:space="preserve">Conditions de paiement </t>
  </si>
  <si>
    <t>Professionnels</t>
  </si>
  <si>
    <t xml:space="preserve">Crédit client 30 jours </t>
  </si>
  <si>
    <t>Particuliers</t>
  </si>
  <si>
    <t xml:space="preserve">Paiement comptant </t>
  </si>
  <si>
    <t>1. Calculez les quantités vendues mensuellement et par type de clientèle.</t>
  </si>
  <si>
    <t>Ventes prévisionnelles de pompes par catégories de clients</t>
  </si>
  <si>
    <t>Total</t>
  </si>
  <si>
    <t>2. Établissez le budget des ventes du premier trimestre N+1 en distinguant les deux catégories de clientèle.</t>
  </si>
  <si>
    <t>Budget des ventes aux professionnels</t>
  </si>
  <si>
    <t>Ventes HT aux professionnels</t>
  </si>
  <si>
    <t>TVA 20 %</t>
  </si>
  <si>
    <t>Budget des ventes aux particuliers</t>
  </si>
  <si>
    <t>Ventes HT aux particuliers</t>
  </si>
  <si>
    <t>3. Présentez la prévision des encaissements sur ventes pour le premier trimestre, en tenant compte des conditions de règlement accordées aux clients.</t>
  </si>
  <si>
    <t>Tableau des encaissements</t>
  </si>
  <si>
    <t>Créances au bilan</t>
  </si>
  <si>
    <t>Ventes à 30 jours (Professionnels)</t>
  </si>
  <si>
    <t>Ventes comptant (Particuliers)</t>
  </si>
  <si>
    <t>Exercice 4</t>
  </si>
  <si>
    <t>Ressource 1 : Extrait de postes du bilan au 31 décembre N-1</t>
  </si>
  <si>
    <t>Fournisseurs (Paiement 50 % en janvier N, 50 % en février N.)</t>
  </si>
  <si>
    <t>Clients (Règlement à recevoir en janvier N.)</t>
  </si>
  <si>
    <t>Dettes envers la Sécurité sociale et autres organismes sociaux</t>
  </si>
  <si>
    <t xml:space="preserve">Soldes de comptes Banque et caisse </t>
  </si>
  <si>
    <t>Ressource 2: Informations relatives au budget de trésorerie</t>
  </si>
  <si>
    <t>Eléments</t>
  </si>
  <si>
    <t>Observations</t>
  </si>
  <si>
    <t>Budget des ventes TTC (TVA 20%)</t>
  </si>
  <si>
    <t>Les clients règlent 80 % au comptant, le reste à 30 jours.</t>
  </si>
  <si>
    <t>Budget des achats TTC (TVA 20%)</t>
  </si>
  <si>
    <t>Les fournisseurs sont réglés 50 % à 30 jours et 50 % à 60 jours.</t>
  </si>
  <si>
    <t>Budget des autres charges non soumises à TVA</t>
  </si>
  <si>
    <t>Payées le mois même de leur engagement.</t>
  </si>
  <si>
    <t>Salaires</t>
  </si>
  <si>
    <t>Virement bancaire l’avant dernier jour du mois.</t>
  </si>
  <si>
    <t>Charges sociales</t>
  </si>
  <si>
    <t>Virement bancaire le dixième jour du mois suivant.</t>
  </si>
  <si>
    <t>TVA à payer à l’Etat</t>
  </si>
  <si>
    <t xml:space="preserve">Un budget de TVA a permis d’évaluer les sommes à payer à l’Etat   </t>
  </si>
  <si>
    <t>Acquisition d’immobilisations HT pour la rénovation du magasin (TVA 20%)</t>
  </si>
  <si>
    <t>Montant TTC payé le mois même</t>
  </si>
  <si>
    <t>1. Établissez les budgets des encaissements et des décaissements.</t>
  </si>
  <si>
    <t>Budget des encaissements</t>
  </si>
  <si>
    <t>Encaissement des créances clients au 31/12/N-1</t>
  </si>
  <si>
    <t>Encaissement des créances clients comptant</t>
  </si>
  <si>
    <t>Encaissement des créances clients à 30 jours:</t>
  </si>
  <si>
    <t>TOTAUX</t>
  </si>
  <si>
    <t>Budget des décaissements</t>
  </si>
  <si>
    <t>Paiement des dettes Fournisseurs au 31/12/N-1</t>
  </si>
  <si>
    <t>Paiement des achats TTC de marchandises à 30 j</t>
  </si>
  <si>
    <t>Paiement des achats TTC de marchandises à 60 j</t>
  </si>
  <si>
    <t>Paiement des autres charges</t>
  </si>
  <si>
    <t>TVA payée à l'État</t>
  </si>
  <si>
    <t>Acquisition d’immobilisation</t>
  </si>
  <si>
    <t>2. Établissez le budget de trésorerie.</t>
  </si>
  <si>
    <t>Budget de trésorerie</t>
  </si>
  <si>
    <t>Trésorerie initiale</t>
  </si>
  <si>
    <t>+ Encaissements</t>
  </si>
  <si>
    <t>– Décaissements</t>
  </si>
  <si>
    <t>= Trésorerie fin période</t>
  </si>
  <si>
    <t>Exercice 5</t>
  </si>
  <si>
    <t>Ressource 1:   Extrait du bilan au 31/3/N</t>
  </si>
  <si>
    <t>Conditions de paiement des dettes fournisseurs :</t>
  </si>
  <si>
    <t>Créances clients encaissées en avril N:</t>
  </si>
  <si>
    <t>Dettes Sécurité Sociale payables en avril N:</t>
  </si>
  <si>
    <t xml:space="preserve">Disponibilités (Solde des comptes Banque et caisse): </t>
  </si>
  <si>
    <t>TVA à payer à l’Etat:</t>
  </si>
  <si>
    <t xml:space="preserve">Ressource 2: Budgets  des ventes, des achats et des autres charges pour le 2ème trimestre N </t>
  </si>
  <si>
    <t>Budget des ventes TTC (TVA 5,5%):</t>
  </si>
  <si>
    <t>Budget des achats TTC (TVA 5,5%):</t>
  </si>
  <si>
    <t>Budget des autres charges TTC (TVA 20%):</t>
  </si>
  <si>
    <t xml:space="preserve">Ressource 3: Conditions commerciales </t>
  </si>
  <si>
    <t>% d'encaissement des ventes comptant :</t>
  </si>
  <si>
    <t>% d'encaissement des ventes à crédit (30 jours):</t>
  </si>
  <si>
    <t>% de paiement à 30 jours aux fournisseurs:</t>
  </si>
  <si>
    <t>% de paiement à 45 jours aux fournisseurs:</t>
  </si>
  <si>
    <t>Les autres charges sont réglées le mois même.</t>
  </si>
  <si>
    <t xml:space="preserve">Ressource 4: Modalités de paiement des charges </t>
  </si>
  <si>
    <t>Salaires nets par mois réglés par virement bancaire le 28 de chaque mois:</t>
  </si>
  <si>
    <t>Cotisations par mois aux URSSAF et aux autres organismes sociaux versées le 15 du mois suivant:</t>
  </si>
  <si>
    <t>Présentez les tableaux des encaissements et des décaissements ainsi que le budget de trésorerie. Expliquez l’évolution de la trésorerie.</t>
  </si>
  <si>
    <t>Encaissement des créances clients au 31/03</t>
  </si>
  <si>
    <t>Encaissement des ventes comptant</t>
  </si>
  <si>
    <t>Encaissement des ventes à 30 jours</t>
  </si>
  <si>
    <t>Paiement des dettes Fournisseurs au 31/3</t>
  </si>
  <si>
    <t>Paiement des achats TTC de marchandises à 45 j</t>
  </si>
  <si>
    <t>Salaires nets</t>
  </si>
  <si>
    <t>Cotisations sociales</t>
  </si>
  <si>
    <t>Ressource: Renseignements transmis par le service développement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</si>
</sst>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6" formatCode="#,##0\ &quot;€&quot;;[Red]\-#,##0\ &quot;€&quot;"/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\ _€"/>
    <numFmt numFmtId="165" formatCode="#,##0\ &quot;€&quot;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FFFF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Fill="1"/>
    <xf numFmtId="0" fontId="5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0" borderId="1" xfId="0" applyFont="1" applyBorder="1" applyAlignment="1">
      <alignment vertical="center" wrapText="1"/>
    </xf>
    <xf numFmtId="0" fontId="2" fillId="4" borderId="0" xfId="0" applyFont="1" applyFill="1"/>
    <xf numFmtId="9" fontId="3" fillId="0" borderId="1" xfId="1" applyFont="1" applyBorder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3" fillId="4" borderId="0" xfId="0" applyFont="1" applyFill="1"/>
    <xf numFmtId="0" fontId="3" fillId="0" borderId="1" xfId="0" applyFont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vertical="center"/>
    </xf>
    <xf numFmtId="9" fontId="3" fillId="0" borderId="0" xfId="0" applyNumberFormat="1" applyFont="1" applyBorder="1" applyAlignment="1">
      <alignment horizontal="center" vertical="center"/>
    </xf>
    <xf numFmtId="0" fontId="2" fillId="6" borderId="1" xfId="0" applyFont="1" applyFill="1" applyBorder="1"/>
    <xf numFmtId="43" fontId="3" fillId="0" borderId="1" xfId="2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43" fontId="3" fillId="0" borderId="0" xfId="2" applyFont="1" applyBorder="1" applyAlignment="1">
      <alignment horizontal="center" vertical="center"/>
    </xf>
    <xf numFmtId="9" fontId="3" fillId="0" borderId="0" xfId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/>
    <xf numFmtId="0" fontId="3" fillId="0" borderId="3" xfId="0" applyFont="1" applyBorder="1" applyAlignment="1">
      <alignment vertical="center"/>
    </xf>
    <xf numFmtId="10" fontId="3" fillId="0" borderId="1" xfId="1" applyNumberFormat="1" applyFont="1" applyBorder="1" applyAlignment="1">
      <alignment horizontal="center" vertical="center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3" fillId="0" borderId="0" xfId="0" applyFont="1" applyAlignment="1">
      <alignment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/>
    <xf numFmtId="0" fontId="3" fillId="0" borderId="1" xfId="0" applyFont="1" applyBorder="1"/>
    <xf numFmtId="44" fontId="3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44" fontId="2" fillId="0" borderId="1" xfId="0" applyNumberFormat="1" applyFont="1" applyBorder="1" applyAlignment="1">
      <alignment horizontal="right" vertical="center"/>
    </xf>
    <xf numFmtId="0" fontId="4" fillId="0" borderId="1" xfId="0" applyFont="1" applyFill="1" applyBorder="1" applyAlignment="1">
      <alignment horizontal="left" vertical="center"/>
    </xf>
    <xf numFmtId="0" fontId="3" fillId="0" borderId="4" xfId="0" applyFont="1" applyFill="1" applyBorder="1"/>
    <xf numFmtId="165" fontId="3" fillId="0" borderId="1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3" fillId="5" borderId="0" xfId="0" applyFont="1" applyFill="1"/>
    <xf numFmtId="0" fontId="5" fillId="0" borderId="6" xfId="0" applyFont="1" applyFill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9" fontId="3" fillId="0" borderId="1" xfId="1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2" fillId="8" borderId="0" xfId="0" applyFont="1" applyFill="1" applyAlignment="1">
      <alignment vertical="center"/>
    </xf>
    <xf numFmtId="0" fontId="3" fillId="8" borderId="0" xfId="0" applyFont="1" applyFill="1"/>
    <xf numFmtId="0" fontId="2" fillId="8" borderId="1" xfId="0" applyFont="1" applyFill="1" applyBorder="1" applyAlignment="1">
      <alignment vertical="center"/>
    </xf>
    <xf numFmtId="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justify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3" fillId="0" borderId="0" xfId="0" applyFont="1" applyFill="1" applyBorder="1"/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Fill="1" applyBorder="1" applyAlignment="1">
      <alignment horizontal="left" vertical="center" wrapText="1" indent="1"/>
    </xf>
    <xf numFmtId="0" fontId="3" fillId="0" borderId="0" xfId="0" applyFont="1" applyBorder="1" applyAlignment="1">
      <alignment horizontal="right" vertical="center"/>
    </xf>
    <xf numFmtId="0" fontId="5" fillId="8" borderId="1" xfId="0" applyFont="1" applyFill="1" applyBorder="1" applyAlignment="1">
      <alignment horizontal="justify" vertical="center"/>
    </xf>
    <xf numFmtId="0" fontId="4" fillId="9" borderId="1" xfId="0" applyFont="1" applyFill="1" applyBorder="1" applyAlignment="1">
      <alignment vertical="center" wrapText="1"/>
    </xf>
    <xf numFmtId="6" fontId="3" fillId="9" borderId="1" xfId="0" applyNumberFormat="1" applyFont="1" applyFill="1" applyBorder="1" applyAlignment="1">
      <alignment horizontal="right" vertical="center" wrapText="1"/>
    </xf>
    <xf numFmtId="42" fontId="4" fillId="9" borderId="1" xfId="0" applyNumberFormat="1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vertical="center" wrapText="1"/>
    </xf>
    <xf numFmtId="6" fontId="2" fillId="9" borderId="1" xfId="0" applyNumberFormat="1" applyFont="1" applyFill="1" applyBorder="1" applyAlignment="1">
      <alignment horizontal="right" vertical="center" wrapText="1"/>
    </xf>
    <xf numFmtId="0" fontId="2" fillId="8" borderId="1" xfId="0" applyFont="1" applyFill="1" applyBorder="1" applyAlignment="1">
      <alignment vertical="top" wrapText="1"/>
    </xf>
    <xf numFmtId="165" fontId="3" fillId="9" borderId="1" xfId="0" applyNumberFormat="1" applyFont="1" applyFill="1" applyBorder="1" applyAlignment="1">
      <alignment horizontal="right" vertical="center" wrapText="1"/>
    </xf>
    <xf numFmtId="0" fontId="3" fillId="9" borderId="1" xfId="0" applyFont="1" applyFill="1" applyBorder="1" applyAlignment="1">
      <alignment vertical="top" wrapText="1"/>
    </xf>
    <xf numFmtId="42" fontId="3" fillId="9" borderId="1" xfId="0" applyNumberFormat="1" applyFont="1" applyFill="1" applyBorder="1" applyAlignment="1">
      <alignment horizontal="right" vertical="center" wrapText="1"/>
    </xf>
    <xf numFmtId="6" fontId="3" fillId="9" borderId="4" xfId="0" applyNumberFormat="1" applyFont="1" applyFill="1" applyBorder="1" applyAlignment="1">
      <alignment horizontal="right" vertical="center" wrapText="1"/>
    </xf>
    <xf numFmtId="0" fontId="5" fillId="9" borderId="3" xfId="0" applyFont="1" applyFill="1" applyBorder="1" applyAlignment="1">
      <alignment vertical="center" wrapText="1"/>
    </xf>
    <xf numFmtId="165" fontId="2" fillId="9" borderId="1" xfId="0" applyNumberFormat="1" applyFont="1" applyFill="1" applyBorder="1" applyAlignment="1">
      <alignment horizontal="right" vertical="center" wrapText="1"/>
    </xf>
    <xf numFmtId="0" fontId="5" fillId="9" borderId="0" xfId="0" applyFont="1" applyFill="1" applyBorder="1" applyAlignment="1">
      <alignment vertical="center" wrapText="1"/>
    </xf>
    <xf numFmtId="165" fontId="2" fillId="9" borderId="0" xfId="0" applyNumberFormat="1" applyFont="1" applyFill="1" applyBorder="1" applyAlignment="1">
      <alignment horizontal="right" vertical="center" wrapText="1"/>
    </xf>
    <xf numFmtId="0" fontId="2" fillId="4" borderId="0" xfId="0" applyFont="1" applyFill="1" applyAlignment="1">
      <alignment horizontal="justify" vertical="center"/>
    </xf>
    <xf numFmtId="0" fontId="5" fillId="9" borderId="1" xfId="0" quotePrefix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 wrapText="1"/>
    </xf>
    <xf numFmtId="0" fontId="4" fillId="9" borderId="10" xfId="0" applyFont="1" applyFill="1" applyBorder="1" applyAlignment="1">
      <alignment vertical="center" wrapText="1"/>
    </xf>
    <xf numFmtId="165" fontId="4" fillId="9" borderId="10" xfId="0" applyNumberFormat="1" applyFont="1" applyFill="1" applyBorder="1" applyAlignment="1">
      <alignment horizontal="right" vertical="center" wrapText="1"/>
    </xf>
    <xf numFmtId="6" fontId="4" fillId="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9" borderId="11" xfId="0" applyFont="1" applyFill="1" applyBorder="1" applyAlignment="1">
      <alignment vertical="center" wrapText="1"/>
    </xf>
    <xf numFmtId="6" fontId="4" fillId="9" borderId="0" xfId="0" applyNumberFormat="1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left" vertical="center" wrapText="1" inden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 indent="1"/>
    </xf>
    <xf numFmtId="42" fontId="4" fillId="9" borderId="1" xfId="3" applyNumberFormat="1" applyFont="1" applyFill="1" applyBorder="1" applyAlignment="1">
      <alignment horizontal="right" vertical="center" wrapText="1"/>
    </xf>
    <xf numFmtId="9" fontId="3" fillId="0" borderId="1" xfId="1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42" fontId="2" fillId="9" borderId="1" xfId="0" applyNumberFormat="1" applyFont="1" applyFill="1" applyBorder="1" applyAlignment="1">
      <alignment horizontal="right" vertical="center" wrapText="1"/>
    </xf>
    <xf numFmtId="0" fontId="5" fillId="8" borderId="1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wrapText="1"/>
    </xf>
    <xf numFmtId="0" fontId="4" fillId="9" borderId="8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</cellXfs>
  <cellStyles count="4">
    <cellStyle name="Milliers" xfId="2" builtinId="3"/>
    <cellStyle name="Monétaire" xfId="3" builtinId="4"/>
    <cellStyle name="Normal" xfId="0" builtinId="0"/>
    <cellStyle name="Pourcentage" xfId="1" builtinId="5"/>
  </cellStyles>
  <dxfs count="0"/>
  <tableStyles count="0" defaultTableStyle="TableStyleMedium2" defaultPivotStyle="PivotStyleLight16"/>
  <colors>
    <mruColors>
      <color rgb="FF00FFFF"/>
      <color rgb="FF00FF00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D3" sqref="D3"/>
    </sheetView>
  </sheetViews>
  <sheetFormatPr baseColWidth="10" defaultRowHeight="15.75" x14ac:dyDescent="0.25"/>
  <cols>
    <col min="1" max="1" width="38.85546875" style="2" customWidth="1"/>
    <col min="2" max="3" width="19.85546875" style="2" customWidth="1"/>
    <col min="4" max="4" width="23.7109375" style="2" customWidth="1"/>
    <col min="5" max="5" width="32.85546875" style="2" customWidth="1"/>
    <col min="6" max="16384" width="11.42578125" style="2"/>
  </cols>
  <sheetData>
    <row r="1" spans="1:5" x14ac:dyDescent="0.25">
      <c r="A1" s="5" t="s">
        <v>5</v>
      </c>
      <c r="B1" s="5"/>
      <c r="C1" s="3"/>
      <c r="D1" s="3"/>
      <c r="E1" s="3"/>
    </row>
    <row r="2" spans="1:5" x14ac:dyDescent="0.25">
      <c r="A2" s="4" t="s">
        <v>4</v>
      </c>
      <c r="B2" s="3"/>
      <c r="C2" s="3"/>
    </row>
    <row r="3" spans="1:5" x14ac:dyDescent="0.25">
      <c r="A3" s="13"/>
      <c r="B3" s="14"/>
      <c r="C3" s="14"/>
      <c r="D3" s="14"/>
    </row>
    <row r="4" spans="1:5" ht="15.75" customHeight="1" x14ac:dyDescent="0.25">
      <c r="A4" s="9" t="s">
        <v>157</v>
      </c>
      <c r="B4" s="44"/>
      <c r="C4" s="44"/>
    </row>
    <row r="5" spans="1:5" ht="31.5" x14ac:dyDescent="0.25">
      <c r="A5" s="12" t="s">
        <v>9</v>
      </c>
      <c r="B5" s="18">
        <v>320000</v>
      </c>
    </row>
    <row r="6" spans="1:5" x14ac:dyDescent="0.25">
      <c r="A6" s="17"/>
    </row>
    <row r="7" spans="1:5" x14ac:dyDescent="0.25">
      <c r="B7" s="1" t="s">
        <v>6</v>
      </c>
      <c r="C7" s="1" t="s">
        <v>7</v>
      </c>
      <c r="D7" s="1" t="s">
        <v>8</v>
      </c>
    </row>
    <row r="8" spans="1:5" x14ac:dyDescent="0.25">
      <c r="A8" s="11" t="s">
        <v>1</v>
      </c>
      <c r="B8" s="16">
        <v>1.92</v>
      </c>
      <c r="C8" s="16">
        <v>0.84</v>
      </c>
      <c r="D8" s="16">
        <v>1.56</v>
      </c>
    </row>
    <row r="9" spans="1:5" x14ac:dyDescent="0.25">
      <c r="A9" s="13"/>
      <c r="B9" s="20"/>
      <c r="C9" s="20"/>
      <c r="D9" s="20"/>
    </row>
    <row r="10" spans="1:5" x14ac:dyDescent="0.25">
      <c r="A10" s="11" t="s">
        <v>15</v>
      </c>
      <c r="B10" s="8">
        <v>0.52</v>
      </c>
      <c r="C10" s="20"/>
      <c r="D10" s="20"/>
    </row>
    <row r="11" spans="1:5" x14ac:dyDescent="0.25">
      <c r="A11" s="13"/>
      <c r="B11" s="21"/>
      <c r="C11" s="20"/>
      <c r="D11" s="20"/>
    </row>
    <row r="12" spans="1:5" x14ac:dyDescent="0.25">
      <c r="A12" s="7" t="s">
        <v>16</v>
      </c>
      <c r="B12" s="10"/>
      <c r="C12" s="10"/>
    </row>
    <row r="13" spans="1:5" x14ac:dyDescent="0.25">
      <c r="A13" s="22" t="s">
        <v>2</v>
      </c>
      <c r="B13" s="1" t="s">
        <v>10</v>
      </c>
      <c r="C13" s="1" t="s">
        <v>11</v>
      </c>
      <c r="D13" s="1" t="s">
        <v>0</v>
      </c>
    </row>
    <row r="14" spans="1:5" x14ac:dyDescent="0.25">
      <c r="A14" s="11" t="s">
        <v>12</v>
      </c>
      <c r="B14" s="19">
        <f>($B$5/12)*B8</f>
        <v>51200</v>
      </c>
      <c r="C14" s="19">
        <f>($B$5/12)*C8</f>
        <v>22400</v>
      </c>
      <c r="D14" s="19">
        <f>($B$5/12)*D8</f>
        <v>41600</v>
      </c>
    </row>
    <row r="15" spans="1:5" x14ac:dyDescent="0.25">
      <c r="A15" s="11" t="s">
        <v>13</v>
      </c>
      <c r="B15" s="19">
        <f>B14*0.2</f>
        <v>10240</v>
      </c>
      <c r="C15" s="19">
        <f>C14*0.2</f>
        <v>4480</v>
      </c>
      <c r="D15" s="19">
        <f>D14*0.2</f>
        <v>8320</v>
      </c>
    </row>
    <row r="16" spans="1:5" x14ac:dyDescent="0.25">
      <c r="A16" s="11" t="s">
        <v>14</v>
      </c>
      <c r="B16" s="19">
        <f>SUM(B14:B15)</f>
        <v>61440</v>
      </c>
      <c r="C16" s="19">
        <f>SUM(C14:C15)</f>
        <v>26880</v>
      </c>
      <c r="D16" s="19">
        <f>SUM(D14:D15)</f>
        <v>49920</v>
      </c>
    </row>
    <row r="18" spans="1:4" x14ac:dyDescent="0.25">
      <c r="A18" s="7" t="s">
        <v>17</v>
      </c>
      <c r="B18" s="10"/>
      <c r="C18" s="10"/>
      <c r="D18" s="7"/>
    </row>
    <row r="19" spans="1:4" x14ac:dyDescent="0.25">
      <c r="A19" s="15" t="s">
        <v>19</v>
      </c>
      <c r="B19" s="1" t="s">
        <v>10</v>
      </c>
      <c r="C19" s="1" t="s">
        <v>11</v>
      </c>
      <c r="D19" s="1" t="s">
        <v>0</v>
      </c>
    </row>
    <row r="20" spans="1:4" x14ac:dyDescent="0.25">
      <c r="A20" s="6" t="s">
        <v>18</v>
      </c>
      <c r="B20" s="19">
        <f>B14*(1-$B$10)</f>
        <v>24576</v>
      </c>
      <c r="C20" s="19">
        <f t="shared" ref="C20:D20" si="0">C14*(1-$B$10)</f>
        <v>10752</v>
      </c>
      <c r="D20" s="19">
        <f t="shared" si="0"/>
        <v>19968</v>
      </c>
    </row>
    <row r="21" spans="1:4" x14ac:dyDescent="0.25">
      <c r="A21" s="6" t="s">
        <v>13</v>
      </c>
      <c r="B21" s="19">
        <f>B20*0.2</f>
        <v>4915.2000000000007</v>
      </c>
      <c r="C21" s="19">
        <f>C20*0.2</f>
        <v>2150.4</v>
      </c>
      <c r="D21" s="19">
        <f>D20*0.2</f>
        <v>3993.6000000000004</v>
      </c>
    </row>
    <row r="22" spans="1:4" x14ac:dyDescent="0.25">
      <c r="A22" s="11" t="s">
        <v>3</v>
      </c>
      <c r="B22" s="19">
        <f>SUM(B20:B21)</f>
        <v>29491.200000000001</v>
      </c>
      <c r="C22" s="19">
        <f>SUM(C20:C21)</f>
        <v>12902.4</v>
      </c>
      <c r="D22" s="19">
        <f>SUM(D20:D21)</f>
        <v>23961.599999999999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25" workbookViewId="0">
      <selection activeCell="C1" sqref="C1"/>
    </sheetView>
  </sheetViews>
  <sheetFormatPr baseColWidth="10" defaultRowHeight="15.75" x14ac:dyDescent="0.25"/>
  <cols>
    <col min="1" max="1" width="43.85546875" style="2" customWidth="1"/>
    <col min="2" max="7" width="19" style="2" customWidth="1"/>
    <col min="8" max="16384" width="11.42578125" style="2"/>
  </cols>
  <sheetData>
    <row r="1" spans="1:7" x14ac:dyDescent="0.25">
      <c r="A1" s="5" t="s">
        <v>5</v>
      </c>
      <c r="B1" s="3"/>
      <c r="C1" s="3"/>
      <c r="D1" s="3"/>
      <c r="E1" s="3"/>
    </row>
    <row r="2" spans="1:7" x14ac:dyDescent="0.25">
      <c r="A2" s="4" t="s">
        <v>20</v>
      </c>
      <c r="B2" s="3"/>
      <c r="C2" s="3"/>
    </row>
    <row r="3" spans="1:7" x14ac:dyDescent="0.25">
      <c r="A3" s="13"/>
      <c r="B3" s="14"/>
      <c r="C3" s="14"/>
      <c r="D3" s="14"/>
    </row>
    <row r="4" spans="1:7" ht="15.75" customHeight="1" x14ac:dyDescent="0.25">
      <c r="A4" s="23" t="s">
        <v>21</v>
      </c>
      <c r="B4" s="23"/>
      <c r="C4" s="23"/>
    </row>
    <row r="5" spans="1:7" s="3" customFormat="1" ht="15.75" customHeight="1" x14ac:dyDescent="0.25"/>
    <row r="6" spans="1:7" s="3" customFormat="1" ht="15.75" customHeight="1" x14ac:dyDescent="0.25">
      <c r="A6" s="96" t="s">
        <v>22</v>
      </c>
      <c r="B6" s="98" t="s">
        <v>23</v>
      </c>
      <c r="C6" s="98"/>
      <c r="D6" s="98" t="s">
        <v>24</v>
      </c>
      <c r="E6" s="98"/>
      <c r="F6" s="98" t="s">
        <v>25</v>
      </c>
      <c r="G6" s="98"/>
    </row>
    <row r="7" spans="1:7" s="3" customFormat="1" ht="15.75" customHeight="1" x14ac:dyDescent="0.25">
      <c r="A7" s="97"/>
      <c r="B7" s="1" t="s">
        <v>26</v>
      </c>
      <c r="C7" s="1" t="s">
        <v>27</v>
      </c>
      <c r="D7" s="1" t="s">
        <v>26</v>
      </c>
      <c r="E7" s="1" t="s">
        <v>27</v>
      </c>
      <c r="F7" s="1" t="s">
        <v>26</v>
      </c>
      <c r="G7" s="1" t="s">
        <v>27</v>
      </c>
    </row>
    <row r="8" spans="1:7" s="3" customFormat="1" ht="15.75" customHeight="1" x14ac:dyDescent="0.25">
      <c r="A8" s="11" t="s">
        <v>28</v>
      </c>
      <c r="B8" s="1">
        <v>17</v>
      </c>
      <c r="C8" s="24">
        <v>0.34</v>
      </c>
      <c r="D8" s="1">
        <v>28</v>
      </c>
      <c r="E8" s="24">
        <v>0.35</v>
      </c>
      <c r="F8" s="1">
        <v>42</v>
      </c>
      <c r="G8" s="24">
        <v>0.35</v>
      </c>
    </row>
    <row r="9" spans="1:7" s="3" customFormat="1" ht="15.75" customHeight="1" x14ac:dyDescent="0.25">
      <c r="A9" s="11" t="s">
        <v>29</v>
      </c>
      <c r="B9" s="1">
        <v>20</v>
      </c>
      <c r="C9" s="24">
        <v>0.4</v>
      </c>
      <c r="D9" s="1">
        <v>36</v>
      </c>
      <c r="E9" s="24">
        <v>0.45</v>
      </c>
      <c r="F9" s="1">
        <v>60</v>
      </c>
      <c r="G9" s="24">
        <v>0.5</v>
      </c>
    </row>
    <row r="10" spans="1:7" x14ac:dyDescent="0.25">
      <c r="A10" s="11" t="s">
        <v>30</v>
      </c>
      <c r="B10" s="1">
        <v>13</v>
      </c>
      <c r="C10" s="24">
        <v>0.26</v>
      </c>
      <c r="D10" s="1">
        <v>16</v>
      </c>
      <c r="E10" s="24">
        <v>0.2</v>
      </c>
      <c r="F10" s="1">
        <v>18</v>
      </c>
      <c r="G10" s="24">
        <v>0.15</v>
      </c>
    </row>
    <row r="11" spans="1:7" x14ac:dyDescent="0.25">
      <c r="A11" s="11" t="s">
        <v>31</v>
      </c>
      <c r="B11" s="1">
        <v>50</v>
      </c>
      <c r="C11" s="24">
        <v>1</v>
      </c>
      <c r="D11" s="1">
        <v>80</v>
      </c>
      <c r="E11" s="24">
        <v>1</v>
      </c>
      <c r="F11" s="1">
        <v>120</v>
      </c>
      <c r="G11" s="24">
        <v>1</v>
      </c>
    </row>
    <row r="12" spans="1:7" s="26" customFormat="1" x14ac:dyDescent="0.25">
      <c r="A12" s="13"/>
      <c r="B12" s="25"/>
      <c r="C12" s="14"/>
      <c r="D12" s="25"/>
      <c r="E12" s="14"/>
      <c r="F12" s="25"/>
      <c r="G12" s="14"/>
    </row>
    <row r="13" spans="1:7" x14ac:dyDescent="0.25">
      <c r="A13" s="27"/>
      <c r="B13" s="1" t="s">
        <v>32</v>
      </c>
      <c r="C13" s="1" t="s">
        <v>33</v>
      </c>
      <c r="D13" s="1" t="s">
        <v>34</v>
      </c>
    </row>
    <row r="14" spans="1:7" x14ac:dyDescent="0.25">
      <c r="A14" s="11" t="s">
        <v>35</v>
      </c>
      <c r="B14" s="28">
        <v>6.6799999999999998E-2</v>
      </c>
      <c r="C14" s="28">
        <v>0.107</v>
      </c>
      <c r="D14" s="28">
        <v>0.16039999999999999</v>
      </c>
      <c r="E14" s="3"/>
      <c r="F14" s="3"/>
      <c r="G14" s="3"/>
    </row>
    <row r="16" spans="1:7" x14ac:dyDescent="0.25">
      <c r="A16" s="9" t="s">
        <v>36</v>
      </c>
    </row>
    <row r="17" spans="1:7" s="3" customFormat="1" x14ac:dyDescent="0.25">
      <c r="A17" s="11" t="s">
        <v>37</v>
      </c>
      <c r="B17" s="29"/>
      <c r="C17" s="30">
        <v>800</v>
      </c>
    </row>
    <row r="18" spans="1:7" s="3" customFormat="1" x14ac:dyDescent="0.25"/>
    <row r="19" spans="1:7" s="3" customFormat="1" x14ac:dyDescent="0.25">
      <c r="A19" s="6" t="s">
        <v>38</v>
      </c>
      <c r="B19" s="6" t="s">
        <v>39</v>
      </c>
      <c r="C19" s="6" t="s">
        <v>40</v>
      </c>
      <c r="D19" s="6" t="s">
        <v>41</v>
      </c>
    </row>
    <row r="20" spans="1:7" s="3" customFormat="1" ht="31.5" x14ac:dyDescent="0.25">
      <c r="A20" s="31" t="s">
        <v>42</v>
      </c>
      <c r="B20" s="32">
        <v>49</v>
      </c>
      <c r="C20" s="32">
        <v>75</v>
      </c>
      <c r="D20" s="32">
        <v>99</v>
      </c>
    </row>
    <row r="22" spans="1:7" x14ac:dyDescent="0.25">
      <c r="A22" s="7" t="s">
        <v>43</v>
      </c>
      <c r="B22" s="10"/>
      <c r="C22" s="10"/>
      <c r="D22" s="10"/>
      <c r="E22" s="10"/>
      <c r="F22" s="10"/>
      <c r="G22" s="10"/>
    </row>
    <row r="24" spans="1:7" x14ac:dyDescent="0.25">
      <c r="A24" s="11" t="s">
        <v>22</v>
      </c>
      <c r="B24" s="33" t="s">
        <v>44</v>
      </c>
      <c r="C24" s="33" t="s">
        <v>45</v>
      </c>
      <c r="D24" s="33" t="s">
        <v>46</v>
      </c>
    </row>
    <row r="25" spans="1:7" x14ac:dyDescent="0.25">
      <c r="A25" s="6" t="s">
        <v>47</v>
      </c>
      <c r="B25" s="1">
        <f>ROUND($C$17*B14,)</f>
        <v>53</v>
      </c>
      <c r="C25" s="1">
        <f>ROUND($C$17*C14,)</f>
        <v>86</v>
      </c>
      <c r="D25" s="1">
        <f>ROUND($C$17*D14,)</f>
        <v>128</v>
      </c>
    </row>
    <row r="26" spans="1:7" x14ac:dyDescent="0.25">
      <c r="A26" s="11" t="s">
        <v>48</v>
      </c>
      <c r="B26" s="1">
        <f>ROUND($B$25*C8,)</f>
        <v>18</v>
      </c>
      <c r="C26" s="1">
        <f>ROUND($C$25*E8,)</f>
        <v>30</v>
      </c>
      <c r="D26" s="1">
        <f>ROUND($D$25*G8,)</f>
        <v>45</v>
      </c>
    </row>
    <row r="27" spans="1:7" x14ac:dyDescent="0.25">
      <c r="A27" s="11" t="s">
        <v>49</v>
      </c>
      <c r="B27" s="1">
        <f>ROUND($B$25*C9,)</f>
        <v>21</v>
      </c>
      <c r="C27" s="1">
        <f>ROUND($C$25*E9,)</f>
        <v>39</v>
      </c>
      <c r="D27" s="1">
        <f>ROUND($D$25*G9,)</f>
        <v>64</v>
      </c>
    </row>
    <row r="28" spans="1:7" x14ac:dyDescent="0.25">
      <c r="A28" s="11" t="s">
        <v>50</v>
      </c>
      <c r="B28" s="1">
        <f>ROUND($B$25*C10,)</f>
        <v>14</v>
      </c>
      <c r="C28" s="1">
        <f>ROUND($C$25*E10,)</f>
        <v>17</v>
      </c>
      <c r="D28" s="1">
        <f>ROUND($D$25*G10,)</f>
        <v>19</v>
      </c>
    </row>
    <row r="30" spans="1:7" x14ac:dyDescent="0.25">
      <c r="A30" s="7" t="s">
        <v>51</v>
      </c>
      <c r="B30" s="10"/>
    </row>
    <row r="31" spans="1:7" s="3" customFormat="1" x14ac:dyDescent="0.25">
      <c r="A31" s="34"/>
    </row>
    <row r="32" spans="1:7" s="3" customFormat="1" x14ac:dyDescent="0.25">
      <c r="A32" s="35"/>
      <c r="B32" s="33" t="s">
        <v>44</v>
      </c>
      <c r="C32" s="33" t="s">
        <v>45</v>
      </c>
      <c r="D32" s="33" t="s">
        <v>46</v>
      </c>
    </row>
    <row r="33" spans="1:4" s="3" customFormat="1" x14ac:dyDescent="0.25">
      <c r="A33" s="11" t="s">
        <v>52</v>
      </c>
      <c r="B33" s="36">
        <f>$B$20*B26</f>
        <v>882</v>
      </c>
      <c r="C33" s="36">
        <f>$B$20*C26</f>
        <v>1470</v>
      </c>
      <c r="D33" s="36">
        <f>$B$20*D26</f>
        <v>2205</v>
      </c>
    </row>
    <row r="34" spans="1:4" s="3" customFormat="1" x14ac:dyDescent="0.25">
      <c r="A34" s="11" t="s">
        <v>53</v>
      </c>
      <c r="B34" s="36">
        <f>$C$20*B27</f>
        <v>1575</v>
      </c>
      <c r="C34" s="36">
        <f>$C$20*C27</f>
        <v>2925</v>
      </c>
      <c r="D34" s="36">
        <f>$C$20*D27</f>
        <v>4800</v>
      </c>
    </row>
    <row r="35" spans="1:4" s="3" customFormat="1" x14ac:dyDescent="0.25">
      <c r="A35" s="11" t="s">
        <v>54</v>
      </c>
      <c r="B35" s="36">
        <f>$D$20*B28</f>
        <v>1386</v>
      </c>
      <c r="C35" s="36">
        <f>$D$20*C28</f>
        <v>1683</v>
      </c>
      <c r="D35" s="36">
        <f>$D$20*D28</f>
        <v>1881</v>
      </c>
    </row>
    <row r="36" spans="1:4" x14ac:dyDescent="0.25">
      <c r="A36" s="37" t="s">
        <v>55</v>
      </c>
      <c r="B36" s="38">
        <f>SUM(B33:B35)</f>
        <v>3843</v>
      </c>
      <c r="C36" s="38">
        <f>SUM(C33:C35)</f>
        <v>6078</v>
      </c>
      <c r="D36" s="38">
        <f>SUM(D33:D35)</f>
        <v>8886</v>
      </c>
    </row>
    <row r="37" spans="1:4" x14ac:dyDescent="0.25">
      <c r="A37" s="37" t="s">
        <v>56</v>
      </c>
      <c r="B37" s="38">
        <f>B36/1.2</f>
        <v>3202.5</v>
      </c>
      <c r="C37" s="38">
        <f t="shared" ref="C37:D37" si="0">C36/1.2</f>
        <v>5065</v>
      </c>
      <c r="D37" s="38">
        <f t="shared" si="0"/>
        <v>7405</v>
      </c>
    </row>
    <row r="38" spans="1:4" x14ac:dyDescent="0.25">
      <c r="A38" s="37" t="s">
        <v>57</v>
      </c>
      <c r="B38" s="38">
        <f>B36-B37</f>
        <v>640.5</v>
      </c>
      <c r="C38" s="38">
        <f t="shared" ref="C38:D38" si="1">C36-C37</f>
        <v>1013</v>
      </c>
      <c r="D38" s="38">
        <f t="shared" si="1"/>
        <v>1481</v>
      </c>
    </row>
  </sheetData>
  <mergeCells count="4">
    <mergeCell ref="A6:A7"/>
    <mergeCell ref="B6:C6"/>
    <mergeCell ref="D6:E6"/>
    <mergeCell ref="F6:G6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opLeftCell="A10" workbookViewId="0">
      <selection activeCell="E26" sqref="E26"/>
    </sheetView>
  </sheetViews>
  <sheetFormatPr baseColWidth="10" defaultRowHeight="15.75" x14ac:dyDescent="0.25"/>
  <cols>
    <col min="1" max="1" width="41.140625" style="2" customWidth="1"/>
    <col min="2" max="4" width="20.7109375" style="2" customWidth="1"/>
    <col min="5" max="7" width="19" style="2" customWidth="1"/>
    <col min="8" max="16384" width="11.42578125" style="2"/>
  </cols>
  <sheetData>
    <row r="1" spans="1:5" x14ac:dyDescent="0.25">
      <c r="A1" s="5" t="s">
        <v>5</v>
      </c>
      <c r="B1" s="34"/>
      <c r="C1" s="3"/>
      <c r="D1" s="3"/>
      <c r="E1" s="3"/>
    </row>
    <row r="2" spans="1:5" x14ac:dyDescent="0.25">
      <c r="A2" s="4" t="s">
        <v>58</v>
      </c>
      <c r="B2" s="3"/>
      <c r="C2" s="3"/>
    </row>
    <row r="3" spans="1:5" x14ac:dyDescent="0.25">
      <c r="A3" s="13"/>
      <c r="B3" s="14"/>
      <c r="C3" s="14"/>
      <c r="D3" s="14"/>
    </row>
    <row r="4" spans="1:5" ht="15.75" customHeight="1" x14ac:dyDescent="0.25">
      <c r="A4" s="23" t="s">
        <v>59</v>
      </c>
    </row>
    <row r="5" spans="1:5" s="3" customFormat="1" ht="16.5" customHeight="1" x14ac:dyDescent="0.25">
      <c r="A5" s="39" t="s">
        <v>60</v>
      </c>
      <c r="B5" s="40"/>
      <c r="C5" s="41">
        <v>280</v>
      </c>
    </row>
    <row r="6" spans="1:5" s="3" customFormat="1" ht="15.75" customHeight="1" x14ac:dyDescent="0.25">
      <c r="A6" s="42"/>
    </row>
    <row r="7" spans="1:5" s="3" customFormat="1" ht="15.75" customHeight="1" x14ac:dyDescent="0.25">
      <c r="A7" s="39" t="s">
        <v>61</v>
      </c>
      <c r="B7" s="40"/>
      <c r="C7" s="41">
        <v>4256</v>
      </c>
    </row>
    <row r="8" spans="1:5" s="3" customFormat="1" ht="15.75" customHeight="1" x14ac:dyDescent="0.25">
      <c r="A8" s="42"/>
    </row>
    <row r="9" spans="1:5" s="3" customFormat="1" ht="15.75" customHeight="1" x14ac:dyDescent="0.25">
      <c r="A9" s="43" t="s">
        <v>62</v>
      </c>
      <c r="B9" s="29"/>
      <c r="C9" s="30">
        <v>480</v>
      </c>
    </row>
    <row r="10" spans="1:5" s="3" customFormat="1" ht="15.75" customHeight="1" x14ac:dyDescent="0.25"/>
    <row r="11" spans="1:5" s="3" customFormat="1" ht="15.75" customHeight="1" x14ac:dyDescent="0.25">
      <c r="A11" s="98" t="s">
        <v>63</v>
      </c>
      <c r="B11" s="1" t="s">
        <v>10</v>
      </c>
      <c r="C11" s="1" t="s">
        <v>11</v>
      </c>
      <c r="D11" s="1" t="s">
        <v>0</v>
      </c>
    </row>
    <row r="12" spans="1:5" s="3" customFormat="1" ht="15.75" customHeight="1" x14ac:dyDescent="0.25">
      <c r="A12" s="98"/>
      <c r="B12" s="1">
        <v>0.5</v>
      </c>
      <c r="C12" s="1">
        <v>0.75</v>
      </c>
      <c r="D12" s="1">
        <v>1.25</v>
      </c>
    </row>
    <row r="13" spans="1:5" s="3" customFormat="1" ht="15.75" customHeight="1" x14ac:dyDescent="0.25"/>
    <row r="14" spans="1:5" x14ac:dyDescent="0.25">
      <c r="A14" s="9" t="s">
        <v>64</v>
      </c>
      <c r="B14" s="44"/>
      <c r="C14" s="44"/>
      <c r="D14" s="44"/>
      <c r="E14" s="44"/>
    </row>
    <row r="15" spans="1:5" s="3" customFormat="1" ht="29.25" customHeight="1" x14ac:dyDescent="0.25">
      <c r="A15" s="45"/>
      <c r="B15" s="99" t="s">
        <v>65</v>
      </c>
      <c r="C15" s="100" t="s">
        <v>66</v>
      </c>
      <c r="D15" s="100"/>
    </row>
    <row r="16" spans="1:5" ht="31.5" x14ac:dyDescent="0.25">
      <c r="A16" s="46"/>
      <c r="B16" s="99"/>
      <c r="C16" s="47" t="s">
        <v>67</v>
      </c>
      <c r="D16" s="48" t="s">
        <v>68</v>
      </c>
    </row>
    <row r="17" spans="1:4" s="26" customFormat="1" ht="21" customHeight="1" x14ac:dyDescent="0.25">
      <c r="A17" s="6" t="s">
        <v>69</v>
      </c>
      <c r="B17" s="49">
        <v>0.7</v>
      </c>
      <c r="C17" s="24">
        <v>0.2</v>
      </c>
      <c r="D17" s="50" t="s">
        <v>70</v>
      </c>
    </row>
    <row r="18" spans="1:4" ht="21" customHeight="1" x14ac:dyDescent="0.25">
      <c r="A18" s="6" t="s">
        <v>71</v>
      </c>
      <c r="B18" s="49">
        <v>0.3</v>
      </c>
      <c r="C18" s="8">
        <v>0</v>
      </c>
      <c r="D18" s="50" t="s">
        <v>72</v>
      </c>
    </row>
    <row r="21" spans="1:4" x14ac:dyDescent="0.25">
      <c r="A21" s="7" t="s">
        <v>73</v>
      </c>
      <c r="B21" s="10"/>
      <c r="C21" s="10"/>
    </row>
    <row r="22" spans="1:4" s="3" customFormat="1" x14ac:dyDescent="0.25">
      <c r="A22" s="34"/>
    </row>
    <row r="23" spans="1:4" x14ac:dyDescent="0.25">
      <c r="A23" s="51" t="s">
        <v>74</v>
      </c>
      <c r="B23" s="52"/>
    </row>
    <row r="24" spans="1:4" x14ac:dyDescent="0.25">
      <c r="A24" s="11"/>
      <c r="B24" s="1" t="s">
        <v>10</v>
      </c>
      <c r="C24" s="1" t="s">
        <v>11</v>
      </c>
      <c r="D24" s="1" t="s">
        <v>0</v>
      </c>
    </row>
    <row r="25" spans="1:4" x14ac:dyDescent="0.25">
      <c r="A25" s="6" t="s">
        <v>69</v>
      </c>
      <c r="B25" s="1">
        <f>B27*B17</f>
        <v>14</v>
      </c>
      <c r="C25" s="1">
        <f>C27*B17</f>
        <v>21</v>
      </c>
      <c r="D25" s="1">
        <f>D27*B17</f>
        <v>35</v>
      </c>
    </row>
    <row r="26" spans="1:4" x14ac:dyDescent="0.25">
      <c r="A26" s="6" t="s">
        <v>71</v>
      </c>
      <c r="B26" s="1">
        <f>$B$27*B18</f>
        <v>6</v>
      </c>
      <c r="C26" s="1">
        <f>C27*B18</f>
        <v>9</v>
      </c>
      <c r="D26" s="1">
        <f>D27*B18</f>
        <v>15</v>
      </c>
    </row>
    <row r="27" spans="1:4" x14ac:dyDescent="0.25">
      <c r="A27" s="6" t="s">
        <v>75</v>
      </c>
      <c r="B27" s="1">
        <f>$C$9*B12/12</f>
        <v>20</v>
      </c>
      <c r="C27" s="1">
        <f t="shared" ref="C27" si="0">$C$9*C12/12</f>
        <v>30</v>
      </c>
      <c r="D27" s="1">
        <f>$C$9*D12/12</f>
        <v>50</v>
      </c>
    </row>
    <row r="29" spans="1:4" x14ac:dyDescent="0.25">
      <c r="A29" s="7" t="s">
        <v>76</v>
      </c>
      <c r="B29" s="10"/>
      <c r="C29" s="10"/>
      <c r="D29" s="10"/>
    </row>
    <row r="30" spans="1:4" s="3" customFormat="1" x14ac:dyDescent="0.25"/>
    <row r="31" spans="1:4" x14ac:dyDescent="0.25">
      <c r="A31" s="53" t="s">
        <v>77</v>
      </c>
      <c r="B31" s="1" t="s">
        <v>10</v>
      </c>
      <c r="C31" s="1" t="s">
        <v>11</v>
      </c>
      <c r="D31" s="1" t="s">
        <v>0</v>
      </c>
    </row>
    <row r="32" spans="1:4" x14ac:dyDescent="0.25">
      <c r="A32" s="6" t="s">
        <v>78</v>
      </c>
      <c r="B32" s="54">
        <f>B25*$C$5*(1-C17)</f>
        <v>3136</v>
      </c>
      <c r="C32" s="54">
        <f>C25*$C$5*(1-C17)</f>
        <v>4704</v>
      </c>
      <c r="D32" s="54">
        <f>D25*$C$5*(1-C17)</f>
        <v>7840</v>
      </c>
    </row>
    <row r="33" spans="1:7" x14ac:dyDescent="0.25">
      <c r="A33" s="6" t="s">
        <v>79</v>
      </c>
      <c r="B33" s="54">
        <f>B32*0.2</f>
        <v>627.20000000000005</v>
      </c>
      <c r="C33" s="54">
        <f t="shared" ref="C33:D33" si="1">C32*0.2</f>
        <v>940.80000000000007</v>
      </c>
      <c r="D33" s="54">
        <f t="shared" si="1"/>
        <v>1568</v>
      </c>
    </row>
    <row r="34" spans="1:7" x14ac:dyDescent="0.25">
      <c r="A34" s="6" t="s">
        <v>14</v>
      </c>
      <c r="B34" s="54">
        <f>SUM(B32:B33)</f>
        <v>3763.2</v>
      </c>
      <c r="C34" s="54">
        <f t="shared" ref="C34:D34" si="2">SUM(C32:C33)</f>
        <v>5644.8</v>
      </c>
      <c r="D34" s="54">
        <f t="shared" si="2"/>
        <v>9408</v>
      </c>
    </row>
    <row r="36" spans="1:7" x14ac:dyDescent="0.25">
      <c r="A36" s="53" t="s">
        <v>80</v>
      </c>
      <c r="B36" s="1" t="s">
        <v>10</v>
      </c>
      <c r="C36" s="1" t="s">
        <v>11</v>
      </c>
      <c r="D36" s="1" t="s">
        <v>0</v>
      </c>
    </row>
    <row r="37" spans="1:7" x14ac:dyDescent="0.25">
      <c r="A37" s="6" t="s">
        <v>81</v>
      </c>
      <c r="B37" s="54">
        <f>$C$5*B26</f>
        <v>1680</v>
      </c>
      <c r="C37" s="54">
        <f>$C$5*C26</f>
        <v>2520</v>
      </c>
      <c r="D37" s="54">
        <f>$C$5*D26</f>
        <v>4200</v>
      </c>
    </row>
    <row r="38" spans="1:7" x14ac:dyDescent="0.25">
      <c r="A38" s="6" t="s">
        <v>79</v>
      </c>
      <c r="B38" s="54">
        <f>B37*0.2</f>
        <v>336</v>
      </c>
      <c r="C38" s="54">
        <f t="shared" ref="C38:D38" si="3">C37*0.2</f>
        <v>504</v>
      </c>
      <c r="D38" s="54">
        <f t="shared" si="3"/>
        <v>840</v>
      </c>
    </row>
    <row r="39" spans="1:7" x14ac:dyDescent="0.25">
      <c r="A39" s="6" t="s">
        <v>14</v>
      </c>
      <c r="B39" s="54">
        <f>SUM(B37:B38)</f>
        <v>2016</v>
      </c>
      <c r="C39" s="54">
        <f t="shared" ref="C39:D39" si="4">SUM(C37:C38)</f>
        <v>3024</v>
      </c>
      <c r="D39" s="54">
        <f t="shared" si="4"/>
        <v>5040</v>
      </c>
    </row>
    <row r="41" spans="1:7" x14ac:dyDescent="0.25">
      <c r="A41" s="7" t="s">
        <v>82</v>
      </c>
      <c r="B41" s="10"/>
      <c r="C41" s="10"/>
      <c r="D41" s="10"/>
      <c r="E41" s="10"/>
      <c r="F41" s="10"/>
      <c r="G41" s="10"/>
    </row>
    <row r="43" spans="1:7" x14ac:dyDescent="0.25">
      <c r="A43" s="53" t="s">
        <v>83</v>
      </c>
      <c r="B43" s="1" t="s">
        <v>10</v>
      </c>
      <c r="C43" s="1" t="s">
        <v>11</v>
      </c>
      <c r="D43" s="1" t="s">
        <v>0</v>
      </c>
    </row>
    <row r="44" spans="1:7" x14ac:dyDescent="0.25">
      <c r="A44" s="6" t="s">
        <v>84</v>
      </c>
      <c r="B44" s="54">
        <f>C7</f>
        <v>4256</v>
      </c>
      <c r="C44" s="54"/>
      <c r="D44" s="54"/>
    </row>
    <row r="45" spans="1:7" x14ac:dyDescent="0.25">
      <c r="A45" s="6" t="s">
        <v>85</v>
      </c>
      <c r="B45" s="54"/>
      <c r="C45" s="54">
        <f>B34</f>
        <v>3763.2</v>
      </c>
      <c r="D45" s="54">
        <f>C34</f>
        <v>5644.8</v>
      </c>
    </row>
    <row r="46" spans="1:7" x14ac:dyDescent="0.25">
      <c r="A46" s="6" t="s">
        <v>86</v>
      </c>
      <c r="B46" s="54">
        <f>B39</f>
        <v>2016</v>
      </c>
      <c r="C46" s="54">
        <f t="shared" ref="C46:D46" si="5">C39</f>
        <v>3024</v>
      </c>
      <c r="D46" s="54">
        <f t="shared" si="5"/>
        <v>5040</v>
      </c>
    </row>
    <row r="47" spans="1:7" x14ac:dyDescent="0.25">
      <c r="A47" s="6" t="s">
        <v>75</v>
      </c>
      <c r="B47" s="54">
        <f>SUM(B44:B46)</f>
        <v>6272</v>
      </c>
      <c r="C47" s="54">
        <f t="shared" ref="C47:D47" si="6">SUM(C44:C46)</f>
        <v>6787.2</v>
      </c>
      <c r="D47" s="54">
        <f t="shared" si="6"/>
        <v>10684.8</v>
      </c>
    </row>
  </sheetData>
  <mergeCells count="3">
    <mergeCell ref="A11:A12"/>
    <mergeCell ref="B15:B16"/>
    <mergeCell ref="C15:D15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6"/>
  <sheetViews>
    <sheetView topLeftCell="A19" workbookViewId="0">
      <selection activeCell="G45" sqref="G45"/>
    </sheetView>
  </sheetViews>
  <sheetFormatPr baseColWidth="10" defaultRowHeight="15.75" x14ac:dyDescent="0.25"/>
  <cols>
    <col min="1" max="1" width="50.42578125" style="2" customWidth="1"/>
    <col min="2" max="4" width="11.5703125" style="2" customWidth="1"/>
    <col min="5" max="5" width="45.7109375" style="2" customWidth="1"/>
    <col min="6" max="16384" width="11.42578125" style="2"/>
  </cols>
  <sheetData>
    <row r="1" spans="1:5" x14ac:dyDescent="0.25">
      <c r="A1" s="5" t="s">
        <v>5</v>
      </c>
      <c r="B1" s="34"/>
      <c r="C1" s="3"/>
      <c r="D1" s="3"/>
      <c r="E1" s="3"/>
    </row>
    <row r="2" spans="1:5" x14ac:dyDescent="0.25">
      <c r="A2" s="4" t="s">
        <v>87</v>
      </c>
      <c r="B2" s="3"/>
      <c r="C2" s="3"/>
    </row>
    <row r="3" spans="1:5" x14ac:dyDescent="0.25">
      <c r="A3" s="13"/>
      <c r="B3" s="14"/>
      <c r="C3" s="14"/>
      <c r="D3" s="14"/>
    </row>
    <row r="4" spans="1:5" ht="15.75" customHeight="1" x14ac:dyDescent="0.25">
      <c r="A4" s="23" t="s">
        <v>88</v>
      </c>
      <c r="B4" s="44"/>
    </row>
    <row r="5" spans="1:5" s="3" customFormat="1" ht="31.5" customHeight="1" x14ac:dyDescent="0.25">
      <c r="A5" s="55" t="s">
        <v>89</v>
      </c>
      <c r="B5" s="56">
        <v>2200</v>
      </c>
    </row>
    <row r="6" spans="1:5" s="3" customFormat="1" x14ac:dyDescent="0.25">
      <c r="A6" s="55" t="s">
        <v>90</v>
      </c>
      <c r="B6" s="56">
        <v>1200</v>
      </c>
    </row>
    <row r="7" spans="1:5" s="57" customFormat="1" ht="31.5" x14ac:dyDescent="0.25">
      <c r="A7" s="55" t="s">
        <v>91</v>
      </c>
      <c r="B7" s="56">
        <v>1060</v>
      </c>
    </row>
    <row r="8" spans="1:5" s="3" customFormat="1" ht="15.75" customHeight="1" x14ac:dyDescent="0.25">
      <c r="A8" s="55" t="s">
        <v>92</v>
      </c>
      <c r="B8" s="56">
        <v>2565</v>
      </c>
    </row>
    <row r="9" spans="1:5" s="3" customFormat="1" x14ac:dyDescent="0.25"/>
    <row r="10" spans="1:5" x14ac:dyDescent="0.25">
      <c r="A10" s="9" t="s">
        <v>93</v>
      </c>
      <c r="B10" s="44"/>
      <c r="C10" s="3"/>
      <c r="D10" s="3"/>
      <c r="E10" s="3"/>
    </row>
    <row r="11" spans="1:5" s="3" customFormat="1" x14ac:dyDescent="0.25">
      <c r="A11" s="48" t="s">
        <v>94</v>
      </c>
      <c r="B11" s="48" t="s">
        <v>10</v>
      </c>
      <c r="C11" s="48" t="s">
        <v>11</v>
      </c>
      <c r="D11" s="48" t="s">
        <v>0</v>
      </c>
      <c r="E11" s="48" t="s">
        <v>95</v>
      </c>
    </row>
    <row r="12" spans="1:5" s="3" customFormat="1" ht="31.5" x14ac:dyDescent="0.25">
      <c r="A12" s="6" t="s">
        <v>96</v>
      </c>
      <c r="B12" s="56">
        <v>6000</v>
      </c>
      <c r="C12" s="56">
        <v>6000</v>
      </c>
      <c r="D12" s="56">
        <v>9600</v>
      </c>
      <c r="E12" s="55" t="s">
        <v>97</v>
      </c>
    </row>
    <row r="13" spans="1:5" s="3" customFormat="1" ht="31.5" x14ac:dyDescent="0.25">
      <c r="A13" s="6" t="s">
        <v>98</v>
      </c>
      <c r="B13" s="56">
        <v>1800</v>
      </c>
      <c r="C13" s="56">
        <v>1800</v>
      </c>
      <c r="D13" s="56">
        <v>2400</v>
      </c>
      <c r="E13" s="55" t="s">
        <v>99</v>
      </c>
    </row>
    <row r="14" spans="1:5" s="3" customFormat="1" x14ac:dyDescent="0.25">
      <c r="A14" s="6" t="s">
        <v>100</v>
      </c>
      <c r="B14" s="58">
        <v>500</v>
      </c>
      <c r="C14" s="58">
        <v>500</v>
      </c>
      <c r="D14" s="58">
        <v>500</v>
      </c>
      <c r="E14" s="55" t="s">
        <v>101</v>
      </c>
    </row>
    <row r="15" spans="1:5" s="3" customFormat="1" x14ac:dyDescent="0.25">
      <c r="A15" s="6" t="s">
        <v>102</v>
      </c>
      <c r="B15" s="56">
        <v>2600</v>
      </c>
      <c r="C15" s="56">
        <v>2600</v>
      </c>
      <c r="D15" s="56">
        <v>2600</v>
      </c>
      <c r="E15" s="55" t="s">
        <v>103</v>
      </c>
    </row>
    <row r="16" spans="1:5" s="3" customFormat="1" ht="31.5" x14ac:dyDescent="0.25">
      <c r="A16" s="6" t="s">
        <v>104</v>
      </c>
      <c r="B16" s="56">
        <v>1150</v>
      </c>
      <c r="C16" s="56">
        <v>1150</v>
      </c>
      <c r="D16" s="56">
        <v>1150</v>
      </c>
      <c r="E16" s="55" t="s">
        <v>105</v>
      </c>
    </row>
    <row r="17" spans="1:5" s="3" customFormat="1" ht="31.5" x14ac:dyDescent="0.25">
      <c r="A17" s="59" t="s">
        <v>106</v>
      </c>
      <c r="B17" s="58">
        <v>0</v>
      </c>
      <c r="C17" s="58">
        <v>461</v>
      </c>
      <c r="D17" s="58">
        <v>600</v>
      </c>
      <c r="E17" s="55" t="s">
        <v>107</v>
      </c>
    </row>
    <row r="18" spans="1:5" s="3" customFormat="1" ht="31.5" x14ac:dyDescent="0.25">
      <c r="A18" s="6" t="s">
        <v>108</v>
      </c>
      <c r="B18" s="58"/>
      <c r="C18" s="58"/>
      <c r="D18" s="56">
        <v>5000</v>
      </c>
      <c r="E18" s="55" t="s">
        <v>109</v>
      </c>
    </row>
    <row r="19" spans="1:5" s="3" customFormat="1" x14ac:dyDescent="0.25">
      <c r="A19" s="2"/>
      <c r="B19" s="2"/>
    </row>
    <row r="20" spans="1:5" x14ac:dyDescent="0.25">
      <c r="A20" s="60"/>
      <c r="B20" s="61"/>
      <c r="C20" s="61"/>
      <c r="D20" s="61"/>
    </row>
    <row r="21" spans="1:5" x14ac:dyDescent="0.25">
      <c r="A21" s="7" t="s">
        <v>110</v>
      </c>
      <c r="B21" s="10"/>
      <c r="C21" s="10"/>
      <c r="D21" s="3"/>
      <c r="E21" s="3"/>
    </row>
    <row r="22" spans="1:5" s="3" customFormat="1" x14ac:dyDescent="0.25"/>
    <row r="23" spans="1:5" s="3" customFormat="1" x14ac:dyDescent="0.25">
      <c r="A23" s="62" t="s">
        <v>111</v>
      </c>
      <c r="B23" s="48" t="s">
        <v>10</v>
      </c>
      <c r="C23" s="48" t="s">
        <v>11</v>
      </c>
      <c r="D23" s="48" t="s">
        <v>0</v>
      </c>
    </row>
    <row r="24" spans="1:5" s="3" customFormat="1" x14ac:dyDescent="0.25">
      <c r="A24" s="63" t="s">
        <v>112</v>
      </c>
      <c r="B24" s="64">
        <f>B6</f>
        <v>1200</v>
      </c>
      <c r="C24" s="64"/>
      <c r="D24" s="64"/>
    </row>
    <row r="25" spans="1:5" s="3" customFormat="1" x14ac:dyDescent="0.25">
      <c r="A25" s="63" t="s">
        <v>113</v>
      </c>
      <c r="B25" s="65">
        <f>B12*0.8</f>
        <v>4800</v>
      </c>
      <c r="C25" s="65">
        <f>C12*0.8</f>
        <v>4800</v>
      </c>
      <c r="D25" s="65">
        <f>D12*0.8</f>
        <v>7680</v>
      </c>
    </row>
    <row r="26" spans="1:5" s="3" customFormat="1" x14ac:dyDescent="0.25">
      <c r="A26" s="63" t="s">
        <v>114</v>
      </c>
      <c r="C26" s="65">
        <f>B12*0.2</f>
        <v>1200</v>
      </c>
      <c r="D26" s="65">
        <f>C12*0.2</f>
        <v>1200</v>
      </c>
    </row>
    <row r="27" spans="1:5" s="3" customFormat="1" x14ac:dyDescent="0.25">
      <c r="A27" s="66" t="s">
        <v>115</v>
      </c>
      <c r="B27" s="67">
        <f>SUM(B24:B26)</f>
        <v>6000</v>
      </c>
      <c r="C27" s="67">
        <f t="shared" ref="C27:D27" si="0">SUM(C24:C26)</f>
        <v>6000</v>
      </c>
      <c r="D27" s="67">
        <f t="shared" si="0"/>
        <v>8880</v>
      </c>
    </row>
    <row r="28" spans="1:5" s="3" customFormat="1" x14ac:dyDescent="0.25">
      <c r="A28" s="34"/>
    </row>
    <row r="29" spans="1:5" s="3" customFormat="1" x14ac:dyDescent="0.25">
      <c r="A29" s="68" t="s">
        <v>116</v>
      </c>
      <c r="B29" s="48" t="s">
        <v>10</v>
      </c>
      <c r="C29" s="48" t="s">
        <v>11</v>
      </c>
      <c r="D29" s="48" t="s">
        <v>0</v>
      </c>
    </row>
    <row r="30" spans="1:5" s="3" customFormat="1" x14ac:dyDescent="0.25">
      <c r="A30" s="63" t="s">
        <v>117</v>
      </c>
      <c r="B30" s="69">
        <f>$B$5*0.5</f>
        <v>1100</v>
      </c>
      <c r="C30" s="69">
        <f>$B$5*0.5</f>
        <v>1100</v>
      </c>
      <c r="D30" s="70"/>
    </row>
    <row r="31" spans="1:5" s="3" customFormat="1" x14ac:dyDescent="0.25">
      <c r="A31" s="63" t="s">
        <v>118</v>
      </c>
      <c r="B31" s="70"/>
      <c r="C31" s="65">
        <f>B13*0.5</f>
        <v>900</v>
      </c>
      <c r="D31" s="65">
        <f>C13*0.5</f>
        <v>900</v>
      </c>
    </row>
    <row r="32" spans="1:5" s="3" customFormat="1" x14ac:dyDescent="0.25">
      <c r="A32" s="63" t="s">
        <v>119</v>
      </c>
      <c r="B32" s="70"/>
      <c r="C32" s="70"/>
      <c r="D32" s="71">
        <f>B13*0.5</f>
        <v>900</v>
      </c>
    </row>
    <row r="33" spans="1:4" s="3" customFormat="1" x14ac:dyDescent="0.25">
      <c r="A33" s="63" t="s">
        <v>120</v>
      </c>
      <c r="B33" s="65">
        <f>B14</f>
        <v>500</v>
      </c>
      <c r="C33" s="65">
        <f>C14</f>
        <v>500</v>
      </c>
      <c r="D33" s="65">
        <f>D14</f>
        <v>500</v>
      </c>
    </row>
    <row r="34" spans="1:4" s="3" customFormat="1" x14ac:dyDescent="0.25">
      <c r="A34" s="63" t="s">
        <v>102</v>
      </c>
      <c r="B34" s="65">
        <f>B15</f>
        <v>2600</v>
      </c>
      <c r="C34" s="65">
        <f t="shared" ref="C34:D34" si="1">C15</f>
        <v>2600</v>
      </c>
      <c r="D34" s="65">
        <f t="shared" si="1"/>
        <v>2600</v>
      </c>
    </row>
    <row r="35" spans="1:4" s="3" customFormat="1" x14ac:dyDescent="0.25">
      <c r="A35" s="63" t="s">
        <v>104</v>
      </c>
      <c r="B35" s="65">
        <f>B7</f>
        <v>1060</v>
      </c>
      <c r="C35" s="65">
        <f>B16</f>
        <v>1150</v>
      </c>
      <c r="D35" s="65">
        <f>C16</f>
        <v>1150</v>
      </c>
    </row>
    <row r="36" spans="1:4" s="3" customFormat="1" x14ac:dyDescent="0.25">
      <c r="A36" s="63" t="s">
        <v>121</v>
      </c>
      <c r="B36" s="64">
        <f>B17</f>
        <v>0</v>
      </c>
      <c r="C36" s="64">
        <f t="shared" ref="C36:D36" si="2">C17</f>
        <v>461</v>
      </c>
      <c r="D36" s="64">
        <f t="shared" si="2"/>
        <v>600</v>
      </c>
    </row>
    <row r="37" spans="1:4" s="3" customFormat="1" x14ac:dyDescent="0.25">
      <c r="A37" s="6" t="s">
        <v>122</v>
      </c>
      <c r="B37" s="72"/>
      <c r="C37" s="64"/>
      <c r="D37" s="64">
        <f>D18*1.2</f>
        <v>6000</v>
      </c>
    </row>
    <row r="38" spans="1:4" s="3" customFormat="1" x14ac:dyDescent="0.25">
      <c r="A38" s="73" t="s">
        <v>115</v>
      </c>
      <c r="B38" s="74">
        <f>SUM(B30:B36)</f>
        <v>5260</v>
      </c>
      <c r="C38" s="74">
        <f t="shared" ref="C38" si="3">SUM(C30:C36)</f>
        <v>6711</v>
      </c>
      <c r="D38" s="74">
        <f>SUM(D30:D37)</f>
        <v>12650</v>
      </c>
    </row>
    <row r="39" spans="1:4" s="3" customFormat="1" x14ac:dyDescent="0.25">
      <c r="A39" s="75"/>
      <c r="B39" s="76"/>
      <c r="C39" s="76"/>
      <c r="D39" s="76"/>
    </row>
    <row r="40" spans="1:4" s="3" customFormat="1" x14ac:dyDescent="0.25">
      <c r="A40" s="77" t="s">
        <v>123</v>
      </c>
    </row>
    <row r="41" spans="1:4" s="3" customFormat="1" x14ac:dyDescent="0.25">
      <c r="A41" s="68" t="s">
        <v>124</v>
      </c>
      <c r="B41" s="48" t="s">
        <v>10</v>
      </c>
      <c r="C41" s="48" t="s">
        <v>11</v>
      </c>
      <c r="D41" s="48" t="s">
        <v>0</v>
      </c>
    </row>
    <row r="42" spans="1:4" s="3" customFormat="1" x14ac:dyDescent="0.25">
      <c r="A42" s="63" t="s">
        <v>125</v>
      </c>
      <c r="B42" s="64">
        <f>B8</f>
        <v>2565</v>
      </c>
      <c r="C42" s="64">
        <f>B45</f>
        <v>3305</v>
      </c>
      <c r="D42" s="64">
        <f>C45</f>
        <v>2594</v>
      </c>
    </row>
    <row r="43" spans="1:4" s="3" customFormat="1" x14ac:dyDescent="0.25">
      <c r="A43" s="63" t="s">
        <v>126</v>
      </c>
      <c r="B43" s="71">
        <f>B27</f>
        <v>6000</v>
      </c>
      <c r="C43" s="71">
        <f>C27</f>
        <v>6000</v>
      </c>
      <c r="D43" s="71">
        <f>D27</f>
        <v>8880</v>
      </c>
    </row>
    <row r="44" spans="1:4" s="3" customFormat="1" x14ac:dyDescent="0.25">
      <c r="A44" s="63" t="s">
        <v>127</v>
      </c>
      <c r="B44" s="69">
        <f>B38</f>
        <v>5260</v>
      </c>
      <c r="C44" s="69">
        <f>C38</f>
        <v>6711</v>
      </c>
      <c r="D44" s="69">
        <f>D38</f>
        <v>12650</v>
      </c>
    </row>
    <row r="45" spans="1:4" s="3" customFormat="1" x14ac:dyDescent="0.25">
      <c r="A45" s="78" t="s">
        <v>128</v>
      </c>
      <c r="B45" s="67">
        <f>B42+B43-B44</f>
        <v>3305</v>
      </c>
      <c r="C45" s="67">
        <f t="shared" ref="C45:D45" si="4">C42+C43-C44</f>
        <v>2594</v>
      </c>
      <c r="D45" s="67">
        <f t="shared" si="4"/>
        <v>-1176</v>
      </c>
    </row>
    <row r="46" spans="1:4" s="3" customFormat="1" x14ac:dyDescent="0.25">
      <c r="A46" s="34"/>
    </row>
  </sheetData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selection activeCell="E25" sqref="E25"/>
    </sheetView>
  </sheetViews>
  <sheetFormatPr baseColWidth="10" defaultRowHeight="15.75" x14ac:dyDescent="0.25"/>
  <cols>
    <col min="1" max="1" width="50.42578125" style="2" customWidth="1"/>
    <col min="2" max="4" width="20.7109375" style="2" customWidth="1"/>
    <col min="5" max="7" width="19" style="2" customWidth="1"/>
    <col min="8" max="16384" width="11.42578125" style="2"/>
  </cols>
  <sheetData>
    <row r="1" spans="1:6" x14ac:dyDescent="0.25">
      <c r="A1" s="5" t="s">
        <v>5</v>
      </c>
      <c r="B1" s="34"/>
      <c r="C1" s="3"/>
      <c r="D1" s="3"/>
      <c r="E1" s="3"/>
    </row>
    <row r="2" spans="1:6" x14ac:dyDescent="0.25">
      <c r="A2" s="4" t="s">
        <v>129</v>
      </c>
      <c r="B2" s="3"/>
      <c r="C2" s="3"/>
    </row>
    <row r="3" spans="1:6" x14ac:dyDescent="0.25">
      <c r="A3" s="13"/>
      <c r="B3" s="14"/>
      <c r="C3" s="14"/>
      <c r="D3" s="14"/>
    </row>
    <row r="4" spans="1:6" ht="15.75" customHeight="1" x14ac:dyDescent="0.25">
      <c r="A4" s="23" t="s">
        <v>130</v>
      </c>
    </row>
    <row r="5" spans="1:6" s="3" customFormat="1" ht="15.75" customHeight="1" x14ac:dyDescent="0.25">
      <c r="A5" s="101" t="s">
        <v>131</v>
      </c>
      <c r="B5" s="79" t="s">
        <v>44</v>
      </c>
      <c r="C5" s="79" t="s">
        <v>45</v>
      </c>
    </row>
    <row r="6" spans="1:6" s="3" customFormat="1" x14ac:dyDescent="0.25">
      <c r="A6" s="102"/>
      <c r="B6" s="80">
        <v>45200</v>
      </c>
      <c r="C6" s="80">
        <v>26800</v>
      </c>
    </row>
    <row r="7" spans="1:6" s="57" customFormat="1" x14ac:dyDescent="0.25">
      <c r="A7" s="81"/>
      <c r="B7" s="82"/>
    </row>
    <row r="8" spans="1:6" s="3" customFormat="1" x14ac:dyDescent="0.25">
      <c r="A8" s="63" t="s">
        <v>132</v>
      </c>
      <c r="B8" s="83">
        <v>6500</v>
      </c>
    </row>
    <row r="9" spans="1:6" s="3" customFormat="1" x14ac:dyDescent="0.25">
      <c r="A9" s="63" t="s">
        <v>133</v>
      </c>
      <c r="B9" s="83">
        <v>10400</v>
      </c>
    </row>
    <row r="10" spans="1:6" s="3" customFormat="1" ht="15" customHeight="1" x14ac:dyDescent="0.25">
      <c r="A10" s="84" t="s">
        <v>134</v>
      </c>
      <c r="B10" s="83">
        <v>2800</v>
      </c>
    </row>
    <row r="11" spans="1:6" s="57" customFormat="1" ht="15" customHeight="1" x14ac:dyDescent="0.25">
      <c r="A11" s="85"/>
      <c r="B11" s="86"/>
    </row>
    <row r="12" spans="1:6" s="3" customFormat="1" x14ac:dyDescent="0.25">
      <c r="A12" s="103" t="s">
        <v>135</v>
      </c>
      <c r="B12" s="79" t="s">
        <v>44</v>
      </c>
      <c r="C12" s="79" t="s">
        <v>45</v>
      </c>
      <c r="D12" s="79" t="s">
        <v>46</v>
      </c>
      <c r="F12" s="42"/>
    </row>
    <row r="13" spans="1:6" s="3" customFormat="1" x14ac:dyDescent="0.25">
      <c r="A13" s="103"/>
      <c r="B13" s="83">
        <v>895</v>
      </c>
      <c r="C13" s="83">
        <v>160</v>
      </c>
      <c r="D13" s="83">
        <v>200</v>
      </c>
    </row>
    <row r="14" spans="1:6" s="3" customFormat="1" ht="15.75" customHeight="1" x14ac:dyDescent="0.25"/>
    <row r="15" spans="1:6" x14ac:dyDescent="0.25">
      <c r="A15" s="9" t="s">
        <v>136</v>
      </c>
      <c r="B15" s="44"/>
      <c r="C15" s="44"/>
      <c r="D15" s="44"/>
      <c r="E15" s="3"/>
    </row>
    <row r="16" spans="1:6" s="3" customFormat="1" x14ac:dyDescent="0.25">
      <c r="A16" s="87"/>
      <c r="B16" s="88" t="s">
        <v>44</v>
      </c>
      <c r="C16" s="88" t="s">
        <v>45</v>
      </c>
      <c r="D16" s="88" t="s">
        <v>46</v>
      </c>
      <c r="E16" s="2"/>
      <c r="F16" s="2"/>
    </row>
    <row r="17" spans="1:6" x14ac:dyDescent="0.25">
      <c r="A17" s="89" t="s">
        <v>137</v>
      </c>
      <c r="B17" s="90">
        <v>88620</v>
      </c>
      <c r="C17" s="90">
        <v>101280</v>
      </c>
      <c r="D17" s="90">
        <v>109720</v>
      </c>
      <c r="E17" s="26"/>
      <c r="F17" s="26"/>
    </row>
    <row r="18" spans="1:6" s="26" customFormat="1" x14ac:dyDescent="0.25">
      <c r="A18" s="89" t="s">
        <v>138</v>
      </c>
      <c r="B18" s="90">
        <v>54860</v>
      </c>
      <c r="C18" s="90">
        <v>59080</v>
      </c>
      <c r="D18" s="90">
        <v>61190</v>
      </c>
      <c r="E18" s="2"/>
      <c r="F18" s="2"/>
    </row>
    <row r="19" spans="1:6" x14ac:dyDescent="0.25">
      <c r="A19" s="89" t="s">
        <v>139</v>
      </c>
      <c r="B19" s="90">
        <v>9600</v>
      </c>
      <c r="C19" s="90">
        <v>12000</v>
      </c>
      <c r="D19" s="90">
        <v>10800</v>
      </c>
    </row>
    <row r="20" spans="1:6" x14ac:dyDescent="0.25">
      <c r="A20" s="60"/>
      <c r="B20" s="61"/>
      <c r="C20" s="61"/>
      <c r="D20" s="61"/>
    </row>
    <row r="21" spans="1:6" x14ac:dyDescent="0.25">
      <c r="A21" s="9" t="s">
        <v>140</v>
      </c>
      <c r="B21" s="61"/>
      <c r="C21" s="61"/>
      <c r="D21" s="61"/>
    </row>
    <row r="22" spans="1:6" x14ac:dyDescent="0.25">
      <c r="A22" s="39" t="s">
        <v>141</v>
      </c>
      <c r="B22" s="91">
        <v>0.95</v>
      </c>
      <c r="C22" s="61"/>
      <c r="D22" s="61"/>
    </row>
    <row r="23" spans="1:6" x14ac:dyDescent="0.25">
      <c r="A23" s="39" t="s">
        <v>142</v>
      </c>
      <c r="B23" s="91">
        <v>0.05</v>
      </c>
      <c r="C23" s="61"/>
      <c r="D23" s="61"/>
    </row>
    <row r="24" spans="1:6" x14ac:dyDescent="0.25">
      <c r="A24" s="39" t="s">
        <v>143</v>
      </c>
      <c r="B24" s="91">
        <v>0.6</v>
      </c>
      <c r="C24" s="61"/>
      <c r="D24" s="61"/>
    </row>
    <row r="25" spans="1:6" x14ac:dyDescent="0.25">
      <c r="A25" s="39" t="s">
        <v>144</v>
      </c>
      <c r="B25" s="91">
        <v>0.4</v>
      </c>
      <c r="C25" s="61"/>
      <c r="D25" s="61"/>
    </row>
    <row r="26" spans="1:6" x14ac:dyDescent="0.25">
      <c r="A26" s="92" t="s">
        <v>145</v>
      </c>
      <c r="B26" s="61"/>
      <c r="C26" s="61"/>
      <c r="D26" s="61"/>
    </row>
    <row r="27" spans="1:6" x14ac:dyDescent="0.25">
      <c r="A27" s="93"/>
      <c r="B27" s="61"/>
      <c r="C27" s="61"/>
      <c r="D27" s="61"/>
    </row>
    <row r="28" spans="1:6" x14ac:dyDescent="0.25">
      <c r="A28" s="9" t="s">
        <v>146</v>
      </c>
      <c r="B28" s="61"/>
      <c r="C28" s="61"/>
      <c r="D28" s="61"/>
    </row>
    <row r="29" spans="1:6" x14ac:dyDescent="0.25">
      <c r="B29" s="88" t="s">
        <v>44</v>
      </c>
      <c r="C29" s="88" t="s">
        <v>45</v>
      </c>
      <c r="D29" s="88" t="s">
        <v>46</v>
      </c>
    </row>
    <row r="30" spans="1:6" ht="31.5" x14ac:dyDescent="0.25">
      <c r="A30" s="12" t="s">
        <v>147</v>
      </c>
      <c r="B30" s="90">
        <v>24200</v>
      </c>
      <c r="C30" s="90">
        <v>24200</v>
      </c>
      <c r="D30" s="90">
        <v>24200</v>
      </c>
    </row>
    <row r="31" spans="1:6" ht="31.5" x14ac:dyDescent="0.25">
      <c r="A31" s="12" t="s">
        <v>148</v>
      </c>
      <c r="B31" s="90">
        <v>11000</v>
      </c>
      <c r="C31" s="90">
        <v>11000</v>
      </c>
      <c r="D31" s="90">
        <v>11000</v>
      </c>
    </row>
    <row r="32" spans="1:6" x14ac:dyDescent="0.25">
      <c r="A32" s="60"/>
      <c r="B32" s="61"/>
      <c r="C32" s="61"/>
      <c r="D32" s="61"/>
    </row>
    <row r="33" spans="1:5" x14ac:dyDescent="0.25">
      <c r="A33" s="7" t="s">
        <v>149</v>
      </c>
      <c r="B33" s="10"/>
      <c r="C33" s="10"/>
      <c r="D33" s="10"/>
      <c r="E33" s="10"/>
    </row>
    <row r="34" spans="1:5" s="3" customFormat="1" x14ac:dyDescent="0.25"/>
    <row r="35" spans="1:5" s="3" customFormat="1" x14ac:dyDescent="0.25">
      <c r="A35" s="62" t="s">
        <v>111</v>
      </c>
      <c r="B35" s="88" t="s">
        <v>44</v>
      </c>
      <c r="C35" s="88" t="s">
        <v>45</v>
      </c>
      <c r="D35" s="88" t="s">
        <v>46</v>
      </c>
    </row>
    <row r="36" spans="1:5" s="3" customFormat="1" x14ac:dyDescent="0.25">
      <c r="A36" s="63" t="s">
        <v>150</v>
      </c>
      <c r="B36" s="64">
        <f>B8</f>
        <v>6500</v>
      </c>
      <c r="C36" s="70"/>
      <c r="D36" s="70"/>
    </row>
    <row r="37" spans="1:5" s="3" customFormat="1" x14ac:dyDescent="0.25">
      <c r="A37" s="63" t="s">
        <v>151</v>
      </c>
      <c r="B37" s="65">
        <f>B17*$B$22</f>
        <v>84189</v>
      </c>
      <c r="C37" s="65">
        <f>C17*$B$22</f>
        <v>96216</v>
      </c>
      <c r="D37" s="65">
        <f>D17*$B$22</f>
        <v>104234</v>
      </c>
    </row>
    <row r="38" spans="1:5" s="3" customFormat="1" x14ac:dyDescent="0.25">
      <c r="A38" s="63" t="s">
        <v>152</v>
      </c>
      <c r="B38" s="70"/>
      <c r="C38" s="71">
        <f>B17*$B$23</f>
        <v>4431</v>
      </c>
      <c r="D38" s="71">
        <f>C17*$B$23</f>
        <v>5064</v>
      </c>
    </row>
    <row r="39" spans="1:5" s="3" customFormat="1" x14ac:dyDescent="0.25">
      <c r="A39" s="66" t="s">
        <v>115</v>
      </c>
      <c r="B39" s="94">
        <f>SUM(B36:B38)</f>
        <v>90689</v>
      </c>
      <c r="C39" s="94">
        <f t="shared" ref="C39:D39" si="0">SUM(C36:C38)</f>
        <v>100647</v>
      </c>
      <c r="D39" s="94">
        <f t="shared" si="0"/>
        <v>109298</v>
      </c>
    </row>
    <row r="40" spans="1:5" s="3" customFormat="1" x14ac:dyDescent="0.25"/>
    <row r="41" spans="1:5" s="3" customFormat="1" x14ac:dyDescent="0.25">
      <c r="A41" s="95" t="s">
        <v>116</v>
      </c>
      <c r="B41" s="88" t="s">
        <v>44</v>
      </c>
      <c r="C41" s="88" t="s">
        <v>45</v>
      </c>
      <c r="D41" s="88" t="s">
        <v>46</v>
      </c>
    </row>
    <row r="42" spans="1:5" s="3" customFormat="1" x14ac:dyDescent="0.25">
      <c r="A42" s="63" t="s">
        <v>153</v>
      </c>
      <c r="B42" s="69">
        <f>B6</f>
        <v>45200</v>
      </c>
      <c r="C42" s="69">
        <f>C6</f>
        <v>26800</v>
      </c>
      <c r="D42" s="70"/>
    </row>
    <row r="43" spans="1:5" s="3" customFormat="1" x14ac:dyDescent="0.25">
      <c r="A43" s="63" t="s">
        <v>118</v>
      </c>
      <c r="B43" s="70"/>
      <c r="C43" s="65">
        <f>B18*$B$24</f>
        <v>32916</v>
      </c>
      <c r="D43" s="65">
        <f>C18*$B$24</f>
        <v>35448</v>
      </c>
    </row>
    <row r="44" spans="1:5" s="3" customFormat="1" x14ac:dyDescent="0.25">
      <c r="A44" s="63" t="s">
        <v>154</v>
      </c>
      <c r="B44" s="70"/>
      <c r="C44" s="70"/>
      <c r="D44" s="71">
        <f>B18*B25</f>
        <v>21944</v>
      </c>
    </row>
    <row r="45" spans="1:5" s="3" customFormat="1" x14ac:dyDescent="0.25">
      <c r="A45" s="63" t="s">
        <v>120</v>
      </c>
      <c r="B45" s="65">
        <f>B19</f>
        <v>9600</v>
      </c>
      <c r="C45" s="65">
        <f>C19</f>
        <v>12000</v>
      </c>
      <c r="D45" s="65">
        <f>D19</f>
        <v>10800</v>
      </c>
    </row>
    <row r="46" spans="1:5" s="3" customFormat="1" x14ac:dyDescent="0.25">
      <c r="A46" s="63" t="s">
        <v>121</v>
      </c>
      <c r="B46" s="64">
        <f>B13</f>
        <v>895</v>
      </c>
      <c r="C46" s="64">
        <f>C13</f>
        <v>160</v>
      </c>
      <c r="D46" s="64">
        <f>D13</f>
        <v>200</v>
      </c>
    </row>
    <row r="47" spans="1:5" s="3" customFormat="1" x14ac:dyDescent="0.25">
      <c r="A47" s="63" t="s">
        <v>155</v>
      </c>
      <c r="B47" s="65">
        <f>B30</f>
        <v>24200</v>
      </c>
      <c r="C47" s="65">
        <f>C30</f>
        <v>24200</v>
      </c>
      <c r="D47" s="65">
        <f>D30</f>
        <v>24200</v>
      </c>
    </row>
    <row r="48" spans="1:5" s="3" customFormat="1" x14ac:dyDescent="0.25">
      <c r="A48" s="63" t="s">
        <v>156</v>
      </c>
      <c r="B48" s="64">
        <f>B9</f>
        <v>10400</v>
      </c>
      <c r="C48" s="71">
        <f>B31</f>
        <v>11000</v>
      </c>
      <c r="D48" s="71">
        <f>C31</f>
        <v>11000</v>
      </c>
    </row>
    <row r="49" spans="1:4" s="3" customFormat="1" x14ac:dyDescent="0.25">
      <c r="A49" s="66" t="s">
        <v>115</v>
      </c>
      <c r="B49" s="74">
        <f>SUM(B42:B48)</f>
        <v>90295</v>
      </c>
      <c r="C49" s="74">
        <f t="shared" ref="C49:D49" si="1">SUM(C42:C48)</f>
        <v>107076</v>
      </c>
      <c r="D49" s="74">
        <f t="shared" si="1"/>
        <v>103592</v>
      </c>
    </row>
    <row r="50" spans="1:4" s="3" customFormat="1" x14ac:dyDescent="0.25"/>
    <row r="51" spans="1:4" s="3" customFormat="1" x14ac:dyDescent="0.25">
      <c r="A51" s="95" t="s">
        <v>124</v>
      </c>
      <c r="B51" s="88" t="s">
        <v>44</v>
      </c>
      <c r="C51" s="88" t="s">
        <v>45</v>
      </c>
      <c r="D51" s="88" t="s">
        <v>46</v>
      </c>
    </row>
    <row r="52" spans="1:4" s="3" customFormat="1" x14ac:dyDescent="0.25">
      <c r="A52" s="63" t="s">
        <v>125</v>
      </c>
      <c r="B52" s="64">
        <f>B10</f>
        <v>2800</v>
      </c>
      <c r="C52" s="64">
        <f>B55</f>
        <v>3194</v>
      </c>
      <c r="D52" s="64">
        <f>C55</f>
        <v>-3235</v>
      </c>
    </row>
    <row r="53" spans="1:4" s="3" customFormat="1" x14ac:dyDescent="0.25">
      <c r="A53" s="63" t="s">
        <v>126</v>
      </c>
      <c r="B53" s="71">
        <f>B39</f>
        <v>90689</v>
      </c>
      <c r="C53" s="71">
        <f>C39</f>
        <v>100647</v>
      </c>
      <c r="D53" s="71">
        <f>D39</f>
        <v>109298</v>
      </c>
    </row>
    <row r="54" spans="1:4" s="3" customFormat="1" x14ac:dyDescent="0.25">
      <c r="A54" s="63" t="s">
        <v>127</v>
      </c>
      <c r="B54" s="69">
        <f>B49</f>
        <v>90295</v>
      </c>
      <c r="C54" s="69">
        <f>C49</f>
        <v>107076</v>
      </c>
      <c r="D54" s="69">
        <f>D49</f>
        <v>103592</v>
      </c>
    </row>
    <row r="55" spans="1:4" s="3" customFormat="1" x14ac:dyDescent="0.25">
      <c r="A55" s="78" t="s">
        <v>128</v>
      </c>
      <c r="B55" s="67">
        <f>B52+B53-B54</f>
        <v>3194</v>
      </c>
      <c r="C55" s="67">
        <f t="shared" ref="C55:D55" si="2">C52+C53-C54</f>
        <v>-3235</v>
      </c>
      <c r="D55" s="67">
        <f t="shared" si="2"/>
        <v>2471</v>
      </c>
    </row>
  </sheetData>
  <mergeCells count="2">
    <mergeCell ref="A5:A6"/>
    <mergeCell ref="A12:A13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Corrigé Exercice1 - CH19</vt:lpstr>
      <vt:lpstr>Corrigé Exercice 2 - CH19</vt:lpstr>
      <vt:lpstr>Corrigé Exercice 3 - CH19</vt:lpstr>
      <vt:lpstr>Corrigé Exercice 4 - CH19</vt:lpstr>
      <vt:lpstr>Corrigé Exercice 5 - CH19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COIC</dc:creator>
  <cp:lastModifiedBy>Bernard COÏC</cp:lastModifiedBy>
  <dcterms:created xsi:type="dcterms:W3CDTF">2019-01-13T10:34:42Z</dcterms:created>
  <dcterms:modified xsi:type="dcterms:W3CDTF">2021-11-09T17:42:06Z</dcterms:modified>
</cp:coreProperties>
</file>