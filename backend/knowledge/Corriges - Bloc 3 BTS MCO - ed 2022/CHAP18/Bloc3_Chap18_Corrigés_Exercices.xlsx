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0" yWindow="0" windowWidth="17640" windowHeight="7350"/>
  </bookViews>
  <sheets>
    <sheet name="Corr. Ex3 - Chap18" sheetId="5" r:id="rId1"/>
    <sheet name="Corr Ex4-Chap18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5" l="1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L35" i="5" s="1"/>
  <c r="K32" i="5"/>
  <c r="K35" i="5" s="1"/>
  <c r="J32" i="5"/>
  <c r="J35" i="5" s="1"/>
  <c r="I32" i="5"/>
  <c r="H32" i="5"/>
  <c r="H35" i="5" s="1"/>
  <c r="G32" i="5"/>
  <c r="G35" i="5" s="1"/>
  <c r="F32" i="5"/>
  <c r="F35" i="5" s="1"/>
  <c r="E32" i="5"/>
  <c r="D32" i="5"/>
  <c r="D35" i="5" s="1"/>
  <c r="C32" i="5"/>
  <c r="C35" i="5" s="1"/>
  <c r="B32" i="5"/>
  <c r="B35" i="5" s="1"/>
  <c r="C26" i="5"/>
  <c r="C25" i="5"/>
  <c r="C24" i="5"/>
  <c r="C27" i="5" s="1"/>
  <c r="D17" i="5"/>
  <c r="E17" i="5" s="1"/>
  <c r="B26" i="5" s="1"/>
  <c r="C17" i="5"/>
  <c r="B17" i="5"/>
  <c r="D16" i="5"/>
  <c r="E16" i="5" s="1"/>
  <c r="B25" i="5" s="1"/>
  <c r="C16" i="5"/>
  <c r="B16" i="5"/>
  <c r="D15" i="5"/>
  <c r="D18" i="5" s="1"/>
  <c r="C15" i="5"/>
  <c r="C18" i="5" s="1"/>
  <c r="B15" i="5"/>
  <c r="B18" i="5" s="1"/>
  <c r="C65" i="1"/>
  <c r="D65" i="1"/>
  <c r="E65" i="1"/>
  <c r="F65" i="1"/>
  <c r="G65" i="1"/>
  <c r="H65" i="1"/>
  <c r="I65" i="1"/>
  <c r="B65" i="1"/>
  <c r="E25" i="5" l="1"/>
  <c r="D25" i="5"/>
  <c r="M35" i="5"/>
  <c r="I35" i="5"/>
  <c r="D26" i="5"/>
  <c r="E26" i="5"/>
  <c r="E35" i="5"/>
  <c r="E15" i="5"/>
  <c r="J65" i="1"/>
  <c r="E13" i="1"/>
  <c r="E14" i="1"/>
  <c r="C15" i="1"/>
  <c r="D15" i="1" s="1"/>
  <c r="C14" i="1"/>
  <c r="D14" i="1" s="1"/>
  <c r="C13" i="1"/>
  <c r="D13" i="1" s="1"/>
  <c r="B19" i="1"/>
  <c r="C21" i="1" s="1"/>
  <c r="E18" i="1"/>
  <c r="D18" i="1"/>
  <c r="E17" i="1"/>
  <c r="D17" i="1"/>
  <c r="E16" i="1"/>
  <c r="D16" i="1"/>
  <c r="E15" i="1"/>
  <c r="B24" i="5" l="1"/>
  <c r="E18" i="5"/>
  <c r="E19" i="1"/>
  <c r="D19" i="1"/>
  <c r="F31" i="1"/>
  <c r="I31" i="1" s="1"/>
  <c r="C19" i="1"/>
  <c r="C23" i="1" s="1"/>
  <c r="D24" i="5" l="1"/>
  <c r="D27" i="5" s="1"/>
  <c r="B27" i="5"/>
  <c r="E27" i="5" s="1"/>
  <c r="E24" i="5"/>
  <c r="C63" i="1"/>
  <c r="C64" i="1" s="1"/>
  <c r="C66" i="1" s="1"/>
  <c r="G63" i="1"/>
  <c r="G64" i="1" s="1"/>
  <c r="G66" i="1" s="1"/>
  <c r="I63" i="1"/>
  <c r="I64" i="1" s="1"/>
  <c r="I66" i="1" s="1"/>
  <c r="F63" i="1"/>
  <c r="F64" i="1" s="1"/>
  <c r="F66" i="1" s="1"/>
  <c r="D63" i="1"/>
  <c r="D64" i="1" s="1"/>
  <c r="D66" i="1" s="1"/>
  <c r="H63" i="1"/>
  <c r="H64" i="1" s="1"/>
  <c r="H66" i="1" s="1"/>
  <c r="E63" i="1"/>
  <c r="E64" i="1" s="1"/>
  <c r="E66" i="1" s="1"/>
  <c r="B63" i="1"/>
  <c r="B64" i="1" s="1"/>
  <c r="F54" i="1"/>
  <c r="F55" i="1" s="1"/>
  <c r="B54" i="1"/>
  <c r="B55" i="1" s="1"/>
  <c r="E54" i="1"/>
  <c r="E55" i="1" s="1"/>
  <c r="C54" i="1"/>
  <c r="C55" i="1" s="1"/>
  <c r="G54" i="1"/>
  <c r="G55" i="1" s="1"/>
  <c r="I54" i="1"/>
  <c r="I55" i="1" s="1"/>
  <c r="D54" i="1"/>
  <c r="D55" i="1" s="1"/>
  <c r="H54" i="1"/>
  <c r="H55" i="1" s="1"/>
  <c r="B42" i="1"/>
  <c r="B43" i="1" s="1"/>
  <c r="B47" i="1" s="1"/>
  <c r="C42" i="1"/>
  <c r="C43" i="1" s="1"/>
  <c r="C47" i="1" s="1"/>
  <c r="D42" i="1"/>
  <c r="D43" i="1" s="1"/>
  <c r="D47" i="1" s="1"/>
  <c r="E42" i="1"/>
  <c r="E43" i="1" s="1"/>
  <c r="E47" i="1" s="1"/>
  <c r="C25" i="1"/>
  <c r="C27" i="1" s="1"/>
  <c r="C29" i="1" s="1"/>
  <c r="E29" i="1" s="1"/>
  <c r="J64" i="1" l="1"/>
  <c r="B66" i="1"/>
  <c r="J66" i="1" s="1"/>
  <c r="J55" i="1"/>
  <c r="J56" i="1" s="1"/>
  <c r="F43" i="1"/>
  <c r="F47" i="1"/>
  <c r="F56" i="1" l="1"/>
  <c r="F57" i="1" s="1"/>
  <c r="F58" i="1" s="1"/>
  <c r="B56" i="1"/>
  <c r="B57" i="1" s="1"/>
  <c r="C56" i="1"/>
  <c r="C57" i="1" s="1"/>
  <c r="C58" i="1" s="1"/>
  <c r="E56" i="1"/>
  <c r="E57" i="1" s="1"/>
  <c r="E58" i="1" s="1"/>
  <c r="G56" i="1"/>
  <c r="G57" i="1" s="1"/>
  <c r="G58" i="1" s="1"/>
  <c r="I56" i="1"/>
  <c r="I57" i="1" s="1"/>
  <c r="I58" i="1" s="1"/>
  <c r="H56" i="1"/>
  <c r="H57" i="1" s="1"/>
  <c r="H58" i="1" s="1"/>
  <c r="D56" i="1"/>
  <c r="D57" i="1" s="1"/>
  <c r="D58" i="1" s="1"/>
  <c r="J57" i="1" l="1"/>
  <c r="B58" i="1"/>
  <c r="J58" i="1" s="1"/>
</calcChain>
</file>

<file path=xl/sharedStrings.xml><?xml version="1.0" encoding="utf-8"?>
<sst xmlns="http://schemas.openxmlformats.org/spreadsheetml/2006/main" count="161" uniqueCount="93">
  <si>
    <t>Total</t>
  </si>
  <si>
    <t>Exercice 4</t>
  </si>
  <si>
    <t>1. Déterminez l’objectif assigné à l’équipe pour l’année N+1 par la méthode des moindres carrés. Arrondissez les prévisions de vente à la dizaine la plus proche.</t>
  </si>
  <si>
    <t>2. Chiffrez l'effort à accomplir sur les huit derniers mois de l'année pour atteindre l'objectif annuel.</t>
  </si>
  <si>
    <t>Calcul des prévisions mensuelles pour les quatre premiers mois de l’année</t>
  </si>
  <si>
    <t>3. Calculez les ventes mensuelles à réaliser sur les huit derniers mois.</t>
  </si>
  <si>
    <t>Solution 1 : répartition de l’effort en tenant compte du poids relatif de chacun des 8 derniers mois</t>
  </si>
  <si>
    <t>années</t>
  </si>
  <si>
    <t>Rang des années</t>
  </si>
  <si>
    <t>xi</t>
  </si>
  <si>
    <t>yi</t>
  </si>
  <si>
    <t>xi yi</t>
  </si>
  <si>
    <t>xi²</t>
  </si>
  <si>
    <t>N–4</t>
  </si>
  <si>
    <t>N–3</t>
  </si>
  <si>
    <t>N–2</t>
  </si>
  <si>
    <t>N–1</t>
  </si>
  <si>
    <t>=</t>
  </si>
  <si>
    <t>a =</t>
  </si>
  <si>
    <t xml:space="preserve">b= </t>
  </si>
  <si>
    <t>Prévision N =</t>
  </si>
  <si>
    <t>Calcul de la prévision en utilisant la formule EXCEL</t>
  </si>
  <si>
    <t>Ressource 1 Volume des services vendus</t>
  </si>
  <si>
    <t>N–5</t>
  </si>
  <si>
    <t>N</t>
  </si>
  <si>
    <t>Nombre de services vendus</t>
  </si>
  <si>
    <t>Ressource 2 Coefficients saisonniers</t>
  </si>
  <si>
    <t>Janv.</t>
  </si>
  <si>
    <t>Fév.</t>
  </si>
  <si>
    <t>Mars</t>
  </si>
  <si>
    <t>Avr.</t>
  </si>
  <si>
    <t>Mai</t>
  </si>
  <si>
    <t>Juin</t>
  </si>
  <si>
    <t>Juil.</t>
  </si>
  <si>
    <t>Août</t>
  </si>
  <si>
    <t>Sept.</t>
  </si>
  <si>
    <t>Oct.</t>
  </si>
  <si>
    <t>Nov.</t>
  </si>
  <si>
    <t>Déc.</t>
  </si>
  <si>
    <t>CHAP 18 FIXER LES OBJECTIFS</t>
  </si>
  <si>
    <t>Arrondi à la dizaine :</t>
  </si>
  <si>
    <t>Nbre de services vendus</t>
  </si>
  <si>
    <t>Arrondi à la dizaine:</t>
  </si>
  <si>
    <t>TOTAL</t>
  </si>
  <si>
    <t>Objectifs mensuels</t>
  </si>
  <si>
    <t>Objectifs mensuels arrondis</t>
  </si>
  <si>
    <t>Calcul des écarts sur objectifs</t>
  </si>
  <si>
    <t>Écart sur objectifs</t>
  </si>
  <si>
    <t>Janv. N+1</t>
  </si>
  <si>
    <t>Fév. N+1</t>
  </si>
  <si>
    <t>Mars N+1</t>
  </si>
  <si>
    <t>Avr. N+1</t>
  </si>
  <si>
    <t>Poids relatif de chaque mois</t>
  </si>
  <si>
    <t>Effort à faire = nombre de ventes à rattraper sur les 8 derniers mois de N+1:</t>
  </si>
  <si>
    <t>Objectifs de ventes sur les 8 derniers mois</t>
  </si>
  <si>
    <t>Répartition de l'effort à faire sur 8 mois:</t>
  </si>
  <si>
    <t>Répartition de l’effort supplémentaire</t>
  </si>
  <si>
    <t>Objectif total de chaque mois</t>
  </si>
  <si>
    <t>Solution 2 : répartition de l’effort supplémentaire de manière linéaire sur les 8 mois restants</t>
  </si>
  <si>
    <t>Objectif par mois arrrondi</t>
  </si>
  <si>
    <t>Exercice 3</t>
  </si>
  <si>
    <t>Ressource 1 Activité de l’agence</t>
  </si>
  <si>
    <t>Ressource 2 Résultats du challenge « Temps fort Assurance » pour l’agence 
et pour les conseillers clientèle</t>
  </si>
  <si>
    <t>Réalisations au 15 mai</t>
  </si>
  <si>
    <t>Objectif année</t>
  </si>
  <si>
    <t>AGENCE</t>
  </si>
  <si>
    <t>Jaouad</t>
  </si>
  <si>
    <t>Coralie</t>
  </si>
  <si>
    <t>Dominique</t>
  </si>
  <si>
    <t>Contrats Multirisques habitation et auto</t>
  </si>
  <si>
    <t>Réalisé</t>
  </si>
  <si>
    <t>Objectifs</t>
  </si>
  <si>
    <t>Contrats Assurtel (assurance téléphone mobile perte et vol de la carte)</t>
  </si>
  <si>
    <t>Contrat Multirisques habitation et auto</t>
  </si>
  <si>
    <t>Nouveaux assurés</t>
  </si>
  <si>
    <t>Contrats Assurtel</t>
  </si>
  <si>
    <t>1. Déterminez le nombre global de contrats que l’agence doit réaliser pendant le challenge et la répartition de cet objectif global par types de contrat.</t>
  </si>
  <si>
    <t>Objectifs année</t>
  </si>
  <si>
    <t>Objectif Temps fort = 60 % de l’objectif annuel</t>
  </si>
  <si>
    <t>Nombre de contrats à réaliser pendant le temps fort</t>
  </si>
  <si>
    <t>Contrat Multirisques</t>
  </si>
  <si>
    <t>2. Analysez les résultats du challenge pour l’agence, pour chaque chargé de clientèle et pour chacun par types de contrat.</t>
  </si>
  <si>
    <t>Pour l’agence</t>
  </si>
  <si>
    <t>Objectifs temps fort</t>
  </si>
  <si>
    <t>Réalisations Temps fort</t>
  </si>
  <si>
    <t>Écart</t>
  </si>
  <si>
    <t>Taux de réalisation</t>
  </si>
  <si>
    <t>Pour chaque chargé de clientèle</t>
  </si>
  <si>
    <t>Obj.</t>
  </si>
  <si>
    <t>Taux de réalisation en %</t>
  </si>
  <si>
    <t>Taux de réalisation en %</t>
  </si>
  <si>
    <t>Total (objectif global)</t>
  </si>
  <si>
    <t>Écarts sur objectifs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</si>
</sst>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3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3" fillId="7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3" fillId="0" borderId="0" xfId="0" applyFont="1" applyFill="1"/>
    <xf numFmtId="0" fontId="3" fillId="6" borderId="0" xfId="0" applyFont="1" applyFill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0" fontId="3" fillId="0" borderId="1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1" fillId="5" borderId="0" xfId="0" applyFont="1" applyFill="1"/>
    <xf numFmtId="0" fontId="2" fillId="0" borderId="0" xfId="0" applyFont="1" applyFill="1"/>
    <xf numFmtId="0" fontId="5" fillId="7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4" fillId="6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0" fontId="4" fillId="0" borderId="1" xfId="1" applyNumberFormat="1" applyFont="1" applyBorder="1" applyAlignment="1">
      <alignment horizontal="right" vertical="center" wrapText="1"/>
    </xf>
    <xf numFmtId="0" fontId="3" fillId="10" borderId="0" xfId="0" applyFont="1" applyFill="1"/>
    <xf numFmtId="0" fontId="4" fillId="10" borderId="0" xfId="0" applyFont="1" applyFill="1" applyAlignment="1">
      <alignment horizontal="justify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Fill="1"/>
    <xf numFmtId="0" fontId="5" fillId="7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25</xdr:row>
      <xdr:rowOff>133350</xdr:rowOff>
    </xdr:from>
    <xdr:to>
      <xdr:col>0</xdr:col>
      <xdr:colOff>1885948</xdr:colOff>
      <xdr:row>27</xdr:row>
      <xdr:rowOff>57148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800100" y="6686550"/>
              <a:ext cx="1085848" cy="3238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fr-FR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𝐲</m:t>
                      </m:r>
                      <m:r>
                        <a:rPr lang="fr-FR" sz="1400" b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 </m:t>
                      </m:r>
                    </m:e>
                  </m:bar>
                </m:oMath>
              </a14:m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en-US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𝐱</m:t>
                      </m:r>
                    </m:e>
                  </m:bar>
                </m:oMath>
              </a14:m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800100" y="6686550"/>
              <a:ext cx="1085848" cy="3238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¯(</a:t>
              </a:r>
              <a:r>
                <a:rPr lang="fr-FR" sz="1400" b="1" i="0">
                  <a:effectLst/>
                  <a:latin typeface="Cambria Math"/>
                  <a:ea typeface="Calibri"/>
                  <a:cs typeface="Times New Roman"/>
                </a:rPr>
                <a:t>𝐲 </a:t>
              </a:r>
              <a:r>
                <a:rPr lang="fr-FR" sz="14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</a:t>
              </a: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</a:t>
              </a:r>
              <a:r>
                <a:rPr lang="en-US" sz="14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457200</xdr:colOff>
      <xdr:row>24</xdr:row>
      <xdr:rowOff>85725</xdr:rowOff>
    </xdr:from>
    <xdr:to>
      <xdr:col>0</xdr:col>
      <xdr:colOff>1866900</xdr:colOff>
      <xdr:row>24</xdr:row>
      <xdr:rowOff>619125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457200" y="5905500"/>
              <a:ext cx="1409700" cy="5334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1">
                        <a:effectLst/>
                        <a:latin typeface="Cambria Math"/>
                        <a:ea typeface="Calibri"/>
                        <a:cs typeface="Times New Roman"/>
                      </a:rPr>
                      <m:t>𝐚</m:t>
                    </m:r>
                    <m:r>
                      <a:rPr lang="en-US" sz="1100" b="1">
                        <a:effectLst/>
                        <a:latin typeface="Cambria Math"/>
                        <a:ea typeface="Calibri"/>
                        <a:cs typeface="Times New Roman"/>
                      </a:rPr>
                      <m:t> =</m:t>
                    </m:r>
                    <m:f>
                      <m:fPr>
                        <m:ctrlPr>
                          <a:rPr lang="fr-FR" sz="1200" b="1" i="1">
                            <a:effectLst/>
                            <a:latin typeface="Cambria Math" panose="02040503050406030204" pitchFamily="18" charset="0"/>
                            <a:ea typeface="Calibri"/>
                            <a:cs typeface="Times New Roman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</m:nary>
                        <m:sSub>
                          <m:sSub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  <m:sub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𝐢</m:t>
                            </m:r>
                          </m:sub>
                        </m:sSub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𝐱</m:t>
                            </m:r>
                          </m:e>
                        </m:acc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</m:acc>
                      </m:num>
                      <m:den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</m:e>
                        </m:nary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r>
                          <a:rPr lang="fr-FR" sz="1200" b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 </m:t>
                        </m:r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acc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</m:acc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457200" y="5905500"/>
              <a:ext cx="1409700" cy="5334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US" sz="1100" b="1" i="0">
                  <a:effectLst/>
                  <a:latin typeface="Cambria Math"/>
                  <a:ea typeface="Calibri"/>
                  <a:cs typeface="Times New Roman"/>
                </a:rPr>
                <a:t>𝐚 =</a:t>
              </a:r>
              <a:r>
                <a:rPr lang="fr-FR" sz="1200" b="1" i="0">
                  <a:effectLst/>
                  <a:latin typeface="Cambria Math" panose="02040503050406030204" pitchFamily="18" charset="0"/>
                  <a:cs typeface="Times New Roman"/>
                </a:rPr>
                <a:t>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 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𝐢−𝐧𝐱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̅(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 ̅)/(∑1▒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〖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〗^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𝟐−𝐧 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)</a:t>
              </a:r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oneCellAnchor>
    <xdr:from>
      <xdr:col>0</xdr:col>
      <xdr:colOff>1476375</xdr:colOff>
      <xdr:row>20</xdr:row>
      <xdr:rowOff>47625</xdr:rowOff>
    </xdr:from>
    <xdr:ext cx="29527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/>
            <xdr:cNvSpPr txBox="1"/>
          </xdr:nvSpPr>
          <xdr:spPr>
            <a:xfrm>
              <a:off x="1476375" y="48482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7" name="ZoneTexte 6"/>
            <xdr:cNvSpPr txBox="1"/>
          </xdr:nvSpPr>
          <xdr:spPr>
            <a:xfrm>
              <a:off x="1476375" y="48482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𝒙 ̅</a:t>
              </a:r>
              <a:endParaRPr lang="fr-FR" sz="1100" b="1"/>
            </a:p>
          </xdr:txBody>
        </xdr:sp>
      </mc:Fallback>
    </mc:AlternateContent>
    <xdr:clientData/>
  </xdr:oneCellAnchor>
  <xdr:twoCellAnchor>
    <xdr:from>
      <xdr:col>0</xdr:col>
      <xdr:colOff>1466850</xdr:colOff>
      <xdr:row>22</xdr:row>
      <xdr:rowOff>28575</xdr:rowOff>
    </xdr:from>
    <xdr:to>
      <xdr:col>0</xdr:col>
      <xdr:colOff>1762125</xdr:colOff>
      <xdr:row>22</xdr:row>
      <xdr:rowOff>247738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5"/>
            <xdr:cNvSpPr txBox="1"/>
          </xdr:nvSpPr>
          <xdr:spPr>
            <a:xfrm>
              <a:off x="1466850" y="53435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14" name="ZoneTexte 5"/>
            <xdr:cNvSpPr txBox="1"/>
          </xdr:nvSpPr>
          <xdr:spPr>
            <a:xfrm>
              <a:off x="1466850" y="53435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𝒚 ̅</a:t>
              </a:r>
              <a:endParaRPr lang="fr-FR" sz="1100" b="1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D7" sqref="D7"/>
    </sheetView>
  </sheetViews>
  <sheetFormatPr baseColWidth="10" defaultRowHeight="15.75" x14ac:dyDescent="0.25"/>
  <cols>
    <col min="1" max="1" width="22.7109375" style="3" customWidth="1"/>
    <col min="2" max="2" width="11.5703125" style="3" customWidth="1"/>
    <col min="3" max="3" width="12.5703125" style="3" customWidth="1"/>
    <col min="4" max="13" width="11.5703125" style="3" customWidth="1"/>
    <col min="14" max="16384" width="11.42578125" style="3"/>
  </cols>
  <sheetData>
    <row r="1" spans="1:13" x14ac:dyDescent="0.25">
      <c r="A1" s="62" t="s">
        <v>39</v>
      </c>
      <c r="B1" s="63"/>
      <c r="C1" s="76"/>
      <c r="D1" s="76"/>
    </row>
    <row r="2" spans="1:13" x14ac:dyDescent="0.25">
      <c r="A2" s="1" t="s">
        <v>60</v>
      </c>
      <c r="B2" s="64"/>
      <c r="C2" s="64"/>
      <c r="D2" s="2"/>
    </row>
    <row r="4" spans="1:13" ht="34.5" customHeight="1" x14ac:dyDescent="0.25">
      <c r="A4" s="65" t="s">
        <v>61</v>
      </c>
      <c r="B4" s="50"/>
      <c r="E4" s="77" t="s">
        <v>62</v>
      </c>
      <c r="F4" s="77"/>
      <c r="G4" s="77"/>
      <c r="H4" s="77"/>
      <c r="I4" s="77"/>
      <c r="J4" s="77"/>
      <c r="K4" s="77"/>
      <c r="L4" s="77"/>
    </row>
    <row r="5" spans="1:13" ht="30" x14ac:dyDescent="0.25">
      <c r="A5" s="4"/>
      <c r="B5" s="71" t="s">
        <v>63</v>
      </c>
      <c r="C5" s="71" t="s">
        <v>64</v>
      </c>
      <c r="E5" s="5"/>
      <c r="F5" s="71" t="s">
        <v>65</v>
      </c>
      <c r="G5" s="78" t="s">
        <v>66</v>
      </c>
      <c r="H5" s="78"/>
      <c r="I5" s="78" t="s">
        <v>67</v>
      </c>
      <c r="J5" s="78"/>
      <c r="K5" s="78" t="s">
        <v>68</v>
      </c>
      <c r="L5" s="78"/>
    </row>
    <row r="6" spans="1:13" ht="31.5" x14ac:dyDescent="0.25">
      <c r="A6" s="66" t="s">
        <v>69</v>
      </c>
      <c r="B6" s="45">
        <v>132</v>
      </c>
      <c r="C6" s="45">
        <v>385</v>
      </c>
      <c r="E6" s="5"/>
      <c r="F6" s="75" t="s">
        <v>70</v>
      </c>
      <c r="G6" s="75" t="s">
        <v>71</v>
      </c>
      <c r="H6" s="75" t="s">
        <v>70</v>
      </c>
      <c r="I6" s="75" t="s">
        <v>71</v>
      </c>
      <c r="J6" s="75" t="s">
        <v>70</v>
      </c>
      <c r="K6" s="75" t="s">
        <v>71</v>
      </c>
      <c r="L6" s="75" t="s">
        <v>70</v>
      </c>
    </row>
    <row r="7" spans="1:13" ht="63" x14ac:dyDescent="0.25">
      <c r="A7" s="4" t="s">
        <v>72</v>
      </c>
      <c r="B7" s="45">
        <v>198</v>
      </c>
      <c r="C7" s="45">
        <v>340</v>
      </c>
      <c r="E7" s="70" t="s">
        <v>73</v>
      </c>
      <c r="F7" s="45">
        <v>178</v>
      </c>
      <c r="G7" s="45">
        <v>12</v>
      </c>
      <c r="H7" s="45">
        <v>27</v>
      </c>
      <c r="I7" s="45">
        <v>6</v>
      </c>
      <c r="J7" s="45">
        <v>37</v>
      </c>
      <c r="K7" s="45">
        <v>16</v>
      </c>
      <c r="L7" s="45">
        <v>10</v>
      </c>
    </row>
    <row r="8" spans="1:13" ht="30" x14ac:dyDescent="0.25">
      <c r="A8" s="4" t="s">
        <v>74</v>
      </c>
      <c r="B8" s="45">
        <v>25</v>
      </c>
      <c r="C8" s="45">
        <v>150</v>
      </c>
      <c r="E8" s="70" t="s">
        <v>75</v>
      </c>
      <c r="F8" s="45">
        <v>289</v>
      </c>
      <c r="G8" s="45">
        <v>13</v>
      </c>
      <c r="H8" s="45">
        <v>25</v>
      </c>
      <c r="I8" s="45">
        <v>8</v>
      </c>
      <c r="J8" s="45">
        <v>50</v>
      </c>
      <c r="K8" s="45">
        <v>9</v>
      </c>
      <c r="L8" s="45">
        <v>19</v>
      </c>
    </row>
    <row r="9" spans="1:13" ht="30" x14ac:dyDescent="0.25">
      <c r="A9" s="45" t="s">
        <v>0</v>
      </c>
      <c r="B9" s="45">
        <v>355</v>
      </c>
      <c r="C9" s="45">
        <v>875</v>
      </c>
      <c r="E9" s="70" t="s">
        <v>74</v>
      </c>
      <c r="F9" s="45">
        <v>62</v>
      </c>
      <c r="G9" s="45">
        <v>2</v>
      </c>
      <c r="H9" s="45">
        <v>5</v>
      </c>
      <c r="I9" s="45">
        <v>4</v>
      </c>
      <c r="J9" s="45">
        <v>3</v>
      </c>
      <c r="K9" s="45">
        <v>9</v>
      </c>
      <c r="L9" s="45">
        <v>1</v>
      </c>
    </row>
    <row r="10" spans="1:13" x14ac:dyDescent="0.25">
      <c r="E10" s="45" t="s">
        <v>0</v>
      </c>
      <c r="F10" s="45">
        <v>529</v>
      </c>
      <c r="G10" s="45">
        <v>27</v>
      </c>
      <c r="H10" s="45">
        <v>57</v>
      </c>
      <c r="I10" s="45">
        <v>18</v>
      </c>
      <c r="J10" s="45">
        <v>90</v>
      </c>
      <c r="K10" s="45">
        <v>34</v>
      </c>
      <c r="L10" s="45">
        <v>30</v>
      </c>
    </row>
    <row r="12" spans="1:13" x14ac:dyDescent="0.25">
      <c r="A12" s="67" t="s">
        <v>76</v>
      </c>
      <c r="B12" s="67"/>
      <c r="C12" s="67"/>
      <c r="D12" s="67"/>
      <c r="E12" s="67"/>
      <c r="F12" s="67"/>
      <c r="G12" s="67"/>
      <c r="H12" s="67"/>
      <c r="I12" s="67"/>
      <c r="J12" s="67"/>
      <c r="K12" s="54"/>
      <c r="L12" s="54"/>
      <c r="M12" s="53"/>
    </row>
    <row r="14" spans="1:13" ht="94.5" x14ac:dyDescent="0.25">
      <c r="A14" s="4"/>
      <c r="B14" s="6" t="s">
        <v>77</v>
      </c>
      <c r="C14" s="6" t="s">
        <v>63</v>
      </c>
      <c r="D14" s="6" t="s">
        <v>78</v>
      </c>
      <c r="E14" s="68" t="s">
        <v>79</v>
      </c>
    </row>
    <row r="15" spans="1:13" x14ac:dyDescent="0.25">
      <c r="A15" s="8" t="s">
        <v>80</v>
      </c>
      <c r="B15" s="57">
        <f>C6</f>
        <v>385</v>
      </c>
      <c r="C15" s="57">
        <f>B6</f>
        <v>132</v>
      </c>
      <c r="D15" s="57">
        <f>B15*0.6</f>
        <v>231</v>
      </c>
      <c r="E15" s="6">
        <f>D15-C15</f>
        <v>99</v>
      </c>
    </row>
    <row r="16" spans="1:13" x14ac:dyDescent="0.25">
      <c r="A16" s="8" t="s">
        <v>75</v>
      </c>
      <c r="B16" s="57">
        <f t="shared" ref="B16:B17" si="0">C7</f>
        <v>340</v>
      </c>
      <c r="C16" s="57">
        <f t="shared" ref="C16:C17" si="1">B7</f>
        <v>198</v>
      </c>
      <c r="D16" s="57">
        <f t="shared" ref="D16:D17" si="2">B16*0.6</f>
        <v>204</v>
      </c>
      <c r="E16" s="6">
        <f t="shared" ref="E16:E17" si="3">D16-C16</f>
        <v>6</v>
      </c>
    </row>
    <row r="17" spans="1:13" x14ac:dyDescent="0.25">
      <c r="A17" s="8" t="s">
        <v>74</v>
      </c>
      <c r="B17" s="57">
        <f t="shared" si="0"/>
        <v>150</v>
      </c>
      <c r="C17" s="57">
        <f t="shared" si="1"/>
        <v>25</v>
      </c>
      <c r="D17" s="57">
        <f t="shared" si="2"/>
        <v>90</v>
      </c>
      <c r="E17" s="6">
        <f t="shared" si="3"/>
        <v>65</v>
      </c>
    </row>
    <row r="18" spans="1:13" x14ac:dyDescent="0.25">
      <c r="A18" s="8" t="s">
        <v>0</v>
      </c>
      <c r="B18" s="57">
        <f>SUM(B15:B17)</f>
        <v>875</v>
      </c>
      <c r="C18" s="57">
        <f t="shared" ref="C18:E18" si="4">SUM(C15:C17)</f>
        <v>355</v>
      </c>
      <c r="D18" s="57">
        <f t="shared" si="4"/>
        <v>525</v>
      </c>
      <c r="E18" s="6">
        <f t="shared" si="4"/>
        <v>170</v>
      </c>
    </row>
    <row r="20" spans="1:13" x14ac:dyDescent="0.25">
      <c r="A20" s="67" t="s">
        <v>81</v>
      </c>
      <c r="B20" s="67"/>
      <c r="C20" s="67"/>
      <c r="D20" s="67"/>
      <c r="E20" s="67"/>
      <c r="F20" s="67"/>
      <c r="G20" s="67"/>
      <c r="H20" s="67"/>
      <c r="I20" s="54"/>
      <c r="J20" s="54"/>
    </row>
    <row r="22" spans="1:13" x14ac:dyDescent="0.25">
      <c r="A22" s="74" t="s">
        <v>82</v>
      </c>
    </row>
    <row r="23" spans="1:13" ht="31.5" x14ac:dyDescent="0.25">
      <c r="A23" s="4"/>
      <c r="B23" s="6" t="s">
        <v>83</v>
      </c>
      <c r="C23" s="6" t="s">
        <v>84</v>
      </c>
      <c r="D23" s="68" t="s">
        <v>92</v>
      </c>
      <c r="E23" s="68" t="s">
        <v>86</v>
      </c>
    </row>
    <row r="24" spans="1:13" ht="22.5" customHeight="1" x14ac:dyDescent="0.25">
      <c r="A24" s="8" t="s">
        <v>80</v>
      </c>
      <c r="B24" s="57">
        <f>E15</f>
        <v>99</v>
      </c>
      <c r="C24" s="57">
        <f>F7</f>
        <v>178</v>
      </c>
      <c r="D24" s="69">
        <f>C24-B24</f>
        <v>79</v>
      </c>
      <c r="E24" s="72">
        <f>C24/B24</f>
        <v>1.797979797979798</v>
      </c>
    </row>
    <row r="25" spans="1:13" ht="22.5" customHeight="1" x14ac:dyDescent="0.25">
      <c r="A25" s="8" t="s">
        <v>75</v>
      </c>
      <c r="B25" s="57">
        <f t="shared" ref="B25:B26" si="5">E16</f>
        <v>6</v>
      </c>
      <c r="C25" s="57">
        <f t="shared" ref="C25:C26" si="6">F8</f>
        <v>289</v>
      </c>
      <c r="D25" s="69">
        <f t="shared" ref="D25:D26" si="7">C25-B25</f>
        <v>283</v>
      </c>
      <c r="E25" s="72">
        <f t="shared" ref="E25:E27" si="8">C25/B25</f>
        <v>48.166666666666664</v>
      </c>
    </row>
    <row r="26" spans="1:13" ht="22.5" customHeight="1" x14ac:dyDescent="0.25">
      <c r="A26" s="8" t="s">
        <v>74</v>
      </c>
      <c r="B26" s="57">
        <f t="shared" si="5"/>
        <v>65</v>
      </c>
      <c r="C26" s="57">
        <f t="shared" si="6"/>
        <v>62</v>
      </c>
      <c r="D26" s="69">
        <f t="shared" si="7"/>
        <v>-3</v>
      </c>
      <c r="E26" s="72">
        <f t="shared" si="8"/>
        <v>0.9538461538461539</v>
      </c>
    </row>
    <row r="27" spans="1:13" ht="22.5" customHeight="1" x14ac:dyDescent="0.25">
      <c r="A27" s="8" t="s">
        <v>0</v>
      </c>
      <c r="B27" s="57">
        <f>SUM(B24:B26)</f>
        <v>170</v>
      </c>
      <c r="C27" s="57">
        <f>SUM(C24:C26)</f>
        <v>529</v>
      </c>
      <c r="D27" s="69">
        <f>SUM(D24:D26)</f>
        <v>359</v>
      </c>
      <c r="E27" s="72">
        <f t="shared" si="8"/>
        <v>3.111764705882353</v>
      </c>
    </row>
    <row r="29" spans="1:13" x14ac:dyDescent="0.25">
      <c r="A29" s="47" t="s">
        <v>87</v>
      </c>
      <c r="B29" s="73"/>
    </row>
    <row r="30" spans="1:13" x14ac:dyDescent="0.25">
      <c r="A30" s="4"/>
      <c r="B30" s="79" t="s">
        <v>66</v>
      </c>
      <c r="C30" s="79"/>
      <c r="D30" s="79"/>
      <c r="E30" s="79"/>
      <c r="F30" s="79" t="s">
        <v>67</v>
      </c>
      <c r="G30" s="79"/>
      <c r="H30" s="79"/>
      <c r="I30" s="79"/>
      <c r="J30" s="79" t="s">
        <v>68</v>
      </c>
      <c r="K30" s="79"/>
      <c r="L30" s="79"/>
      <c r="M30" s="79"/>
    </row>
    <row r="31" spans="1:13" ht="47.25" x14ac:dyDescent="0.25">
      <c r="A31" s="4"/>
      <c r="B31" s="6" t="s">
        <v>71</v>
      </c>
      <c r="C31" s="6" t="s">
        <v>70</v>
      </c>
      <c r="D31" s="68" t="s">
        <v>85</v>
      </c>
      <c r="E31" s="68" t="s">
        <v>89</v>
      </c>
      <c r="F31" s="6" t="s">
        <v>71</v>
      </c>
      <c r="G31" s="6" t="s">
        <v>70</v>
      </c>
      <c r="H31" s="68" t="s">
        <v>85</v>
      </c>
      <c r="I31" s="68" t="s">
        <v>89</v>
      </c>
      <c r="J31" s="6" t="s">
        <v>88</v>
      </c>
      <c r="K31" s="6" t="s">
        <v>70</v>
      </c>
      <c r="L31" s="68" t="s">
        <v>85</v>
      </c>
      <c r="M31" s="68" t="s">
        <v>90</v>
      </c>
    </row>
    <row r="32" spans="1:13" x14ac:dyDescent="0.25">
      <c r="A32" s="8" t="s">
        <v>80</v>
      </c>
      <c r="B32" s="57">
        <f>G7</f>
        <v>12</v>
      </c>
      <c r="C32" s="57">
        <f>H7</f>
        <v>27</v>
      </c>
      <c r="D32" s="69">
        <f>C32-B32</f>
        <v>15</v>
      </c>
      <c r="E32" s="72">
        <f>C32/B32</f>
        <v>2.25</v>
      </c>
      <c r="F32" s="57">
        <f>I7</f>
        <v>6</v>
      </c>
      <c r="G32" s="57">
        <f>J7</f>
        <v>37</v>
      </c>
      <c r="H32" s="69">
        <f>G32-F32</f>
        <v>31</v>
      </c>
      <c r="I32" s="72">
        <f>G32/F32</f>
        <v>6.166666666666667</v>
      </c>
      <c r="J32" s="57">
        <f>K7</f>
        <v>16</v>
      </c>
      <c r="K32" s="57">
        <f>L7</f>
        <v>10</v>
      </c>
      <c r="L32" s="69">
        <f>K32-J32</f>
        <v>-6</v>
      </c>
      <c r="M32" s="72">
        <f>K32/J32</f>
        <v>0.625</v>
      </c>
    </row>
    <row r="33" spans="1:13" x14ac:dyDescent="0.25">
      <c r="A33" s="8" t="s">
        <v>75</v>
      </c>
      <c r="B33" s="57">
        <f t="shared" ref="B33:C34" si="9">G8</f>
        <v>13</v>
      </c>
      <c r="C33" s="57">
        <f t="shared" si="9"/>
        <v>25</v>
      </c>
      <c r="D33" s="69">
        <f t="shared" ref="D33:D34" si="10">C33-B33</f>
        <v>12</v>
      </c>
      <c r="E33" s="72">
        <f t="shared" ref="E33:E35" si="11">C33/B33</f>
        <v>1.9230769230769231</v>
      </c>
      <c r="F33" s="57">
        <f t="shared" ref="F33:G34" si="12">I8</f>
        <v>8</v>
      </c>
      <c r="G33" s="57">
        <f t="shared" si="12"/>
        <v>50</v>
      </c>
      <c r="H33" s="69">
        <f>G33-F33</f>
        <v>42</v>
      </c>
      <c r="I33" s="72">
        <f>G33/F33</f>
        <v>6.25</v>
      </c>
      <c r="J33" s="57">
        <f t="shared" ref="J33:K34" si="13">K8</f>
        <v>9</v>
      </c>
      <c r="K33" s="57">
        <f t="shared" si="13"/>
        <v>19</v>
      </c>
      <c r="L33" s="69">
        <f>K33-J33</f>
        <v>10</v>
      </c>
      <c r="M33" s="72">
        <f>K33/J33</f>
        <v>2.1111111111111112</v>
      </c>
    </row>
    <row r="34" spans="1:13" x14ac:dyDescent="0.25">
      <c r="A34" s="8" t="s">
        <v>74</v>
      </c>
      <c r="B34" s="57">
        <f t="shared" si="9"/>
        <v>2</v>
      </c>
      <c r="C34" s="57">
        <f t="shared" si="9"/>
        <v>5</v>
      </c>
      <c r="D34" s="69">
        <f t="shared" si="10"/>
        <v>3</v>
      </c>
      <c r="E34" s="72">
        <f t="shared" si="11"/>
        <v>2.5</v>
      </c>
      <c r="F34" s="57">
        <f t="shared" si="12"/>
        <v>4</v>
      </c>
      <c r="G34" s="57">
        <f t="shared" si="12"/>
        <v>3</v>
      </c>
      <c r="H34" s="69">
        <f>G34-F34</f>
        <v>-1</v>
      </c>
      <c r="I34" s="72">
        <f>G34/F34</f>
        <v>0.75</v>
      </c>
      <c r="J34" s="57">
        <f t="shared" si="13"/>
        <v>9</v>
      </c>
      <c r="K34" s="57">
        <f t="shared" si="13"/>
        <v>1</v>
      </c>
      <c r="L34" s="69">
        <f>K34-J34</f>
        <v>-8</v>
      </c>
      <c r="M34" s="72">
        <f>K34/J34</f>
        <v>0.1111111111111111</v>
      </c>
    </row>
    <row r="35" spans="1:13" x14ac:dyDescent="0.25">
      <c r="A35" s="8" t="s">
        <v>91</v>
      </c>
      <c r="B35" s="57">
        <f>SUM(B32:B34)</f>
        <v>27</v>
      </c>
      <c r="C35" s="57">
        <f t="shared" ref="C35:L35" si="14">SUM(C32:C34)</f>
        <v>57</v>
      </c>
      <c r="D35" s="69">
        <f t="shared" si="14"/>
        <v>30</v>
      </c>
      <c r="E35" s="72">
        <f t="shared" si="11"/>
        <v>2.1111111111111112</v>
      </c>
      <c r="F35" s="57">
        <f t="shared" si="14"/>
        <v>18</v>
      </c>
      <c r="G35" s="57">
        <f t="shared" si="14"/>
        <v>90</v>
      </c>
      <c r="H35" s="69">
        <f t="shared" si="14"/>
        <v>72</v>
      </c>
      <c r="I35" s="72">
        <f>G35/F35</f>
        <v>5</v>
      </c>
      <c r="J35" s="57">
        <f t="shared" si="14"/>
        <v>34</v>
      </c>
      <c r="K35" s="57">
        <f t="shared" si="14"/>
        <v>30</v>
      </c>
      <c r="L35" s="69">
        <f t="shared" si="14"/>
        <v>-4</v>
      </c>
      <c r="M35" s="72">
        <f>K35/J35</f>
        <v>0.88235294117647056</v>
      </c>
    </row>
  </sheetData>
  <mergeCells count="7">
    <mergeCell ref="E4:L4"/>
    <mergeCell ref="G5:H5"/>
    <mergeCell ref="I5:J5"/>
    <mergeCell ref="K5:L5"/>
    <mergeCell ref="B30:E30"/>
    <mergeCell ref="F30:I30"/>
    <mergeCell ref="J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F3" sqref="F3"/>
    </sheetView>
  </sheetViews>
  <sheetFormatPr baseColWidth="10" defaultRowHeight="15.75" x14ac:dyDescent="0.25"/>
  <cols>
    <col min="1" max="1" width="29.5703125" style="25" customWidth="1"/>
    <col min="2" max="13" width="11.7109375" style="25" customWidth="1"/>
    <col min="14" max="16384" width="11.42578125" style="25"/>
  </cols>
  <sheetData>
    <row r="1" spans="1:16" x14ac:dyDescent="0.25">
      <c r="A1" s="24" t="s">
        <v>39</v>
      </c>
      <c r="B1" s="44"/>
      <c r="C1" s="44"/>
      <c r="D1" s="44"/>
    </row>
    <row r="2" spans="1:16" x14ac:dyDescent="0.25">
      <c r="A2" s="1" t="s">
        <v>1</v>
      </c>
      <c r="B2" s="26"/>
      <c r="C2" s="26"/>
      <c r="D2" s="26"/>
    </row>
    <row r="4" spans="1:16" s="30" customFormat="1" x14ac:dyDescent="0.25">
      <c r="A4" s="49" t="s">
        <v>22</v>
      </c>
      <c r="B4" s="50"/>
      <c r="C4" s="50"/>
      <c r="D4" s="50"/>
      <c r="E4" s="50"/>
      <c r="F4" s="3"/>
      <c r="G4" s="3"/>
    </row>
    <row r="5" spans="1:16" s="30" customFormat="1" x14ac:dyDescent="0.25">
      <c r="A5" s="5"/>
      <c r="B5" s="7" t="s">
        <v>23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24</v>
      </c>
      <c r="H5" s="9" t="s">
        <v>48</v>
      </c>
      <c r="I5" s="10" t="s">
        <v>49</v>
      </c>
      <c r="J5" s="10" t="s">
        <v>50</v>
      </c>
      <c r="K5" s="10" t="s">
        <v>51</v>
      </c>
    </row>
    <row r="6" spans="1:16" s="30" customFormat="1" ht="31.5" x14ac:dyDescent="0.25">
      <c r="A6" s="7" t="s">
        <v>41</v>
      </c>
      <c r="B6" s="7">
        <v>884</v>
      </c>
      <c r="C6" s="7">
        <v>915</v>
      </c>
      <c r="D6" s="7">
        <v>922</v>
      </c>
      <c r="E6" s="7">
        <v>937</v>
      </c>
      <c r="F6" s="7">
        <v>1002</v>
      </c>
      <c r="G6" s="7">
        <v>1004</v>
      </c>
      <c r="H6" s="12">
        <v>51</v>
      </c>
      <c r="I6" s="17">
        <v>53</v>
      </c>
      <c r="J6" s="17">
        <v>85</v>
      </c>
      <c r="K6" s="17">
        <v>82</v>
      </c>
    </row>
    <row r="7" spans="1:16" s="30" customFormat="1" x14ac:dyDescent="0.25">
      <c r="A7" s="29"/>
    </row>
    <row r="8" spans="1:16" s="30" customFormat="1" x14ac:dyDescent="0.25">
      <c r="A8" s="29"/>
    </row>
    <row r="9" spans="1:16" x14ac:dyDescent="0.25">
      <c r="A9" s="31" t="s">
        <v>2</v>
      </c>
      <c r="B9" s="31"/>
      <c r="C9" s="31"/>
      <c r="D9" s="31"/>
      <c r="E9" s="32"/>
      <c r="F9" s="32"/>
      <c r="G9" s="32"/>
      <c r="H9" s="32"/>
      <c r="I9" s="32"/>
      <c r="J9" s="32"/>
      <c r="K9" s="32"/>
      <c r="L9" s="32"/>
      <c r="M9" s="30"/>
      <c r="N9" s="30"/>
      <c r="O9" s="30"/>
      <c r="P9" s="30"/>
    </row>
    <row r="11" spans="1:16" ht="47.25" x14ac:dyDescent="0.25">
      <c r="A11" s="9" t="s">
        <v>7</v>
      </c>
      <c r="B11" s="10" t="s">
        <v>8</v>
      </c>
      <c r="C11" s="11" t="s">
        <v>25</v>
      </c>
      <c r="D11" s="27"/>
      <c r="E11" s="27"/>
    </row>
    <row r="12" spans="1:16" x14ac:dyDescent="0.25">
      <c r="A12" s="12"/>
      <c r="B12" s="13" t="s">
        <v>9</v>
      </c>
      <c r="C12" s="14" t="s">
        <v>10</v>
      </c>
      <c r="D12" s="15" t="s">
        <v>11</v>
      </c>
      <c r="E12" s="15" t="s">
        <v>12</v>
      </c>
    </row>
    <row r="13" spans="1:16" x14ac:dyDescent="0.25">
      <c r="A13" s="16" t="s">
        <v>23</v>
      </c>
      <c r="B13" s="17">
        <v>1</v>
      </c>
      <c r="C13" s="41">
        <f>B6</f>
        <v>884</v>
      </c>
      <c r="D13" s="17">
        <f t="shared" ref="D13:D18" si="0">B13*C13</f>
        <v>884</v>
      </c>
      <c r="E13" s="17">
        <f t="shared" ref="E13:E18" si="1">B13^2</f>
        <v>1</v>
      </c>
    </row>
    <row r="14" spans="1:16" x14ac:dyDescent="0.25">
      <c r="A14" s="16" t="s">
        <v>13</v>
      </c>
      <c r="B14" s="17">
        <v>2</v>
      </c>
      <c r="C14" s="41">
        <f>C6</f>
        <v>915</v>
      </c>
      <c r="D14" s="17">
        <f t="shared" si="0"/>
        <v>1830</v>
      </c>
      <c r="E14" s="17">
        <f t="shared" si="1"/>
        <v>4</v>
      </c>
    </row>
    <row r="15" spans="1:16" x14ac:dyDescent="0.25">
      <c r="A15" s="16" t="s">
        <v>14</v>
      </c>
      <c r="B15" s="17">
        <v>3</v>
      </c>
      <c r="C15" s="18">
        <f>D6</f>
        <v>922</v>
      </c>
      <c r="D15" s="17">
        <f t="shared" si="0"/>
        <v>2766</v>
      </c>
      <c r="E15" s="17">
        <f t="shared" si="1"/>
        <v>9</v>
      </c>
    </row>
    <row r="16" spans="1:16" x14ac:dyDescent="0.25">
      <c r="A16" s="16" t="s">
        <v>15</v>
      </c>
      <c r="B16" s="17">
        <v>4</v>
      </c>
      <c r="C16" s="18">
        <v>937</v>
      </c>
      <c r="D16" s="17">
        <f t="shared" si="0"/>
        <v>3748</v>
      </c>
      <c r="E16" s="17">
        <f t="shared" si="1"/>
        <v>16</v>
      </c>
    </row>
    <row r="17" spans="1:10" x14ac:dyDescent="0.25">
      <c r="A17" s="16" t="s">
        <v>16</v>
      </c>
      <c r="B17" s="17">
        <v>5</v>
      </c>
      <c r="C17" s="18">
        <v>1002</v>
      </c>
      <c r="D17" s="17">
        <f t="shared" si="0"/>
        <v>5010</v>
      </c>
      <c r="E17" s="17">
        <f t="shared" si="1"/>
        <v>25</v>
      </c>
    </row>
    <row r="18" spans="1:10" x14ac:dyDescent="0.25">
      <c r="A18" s="39" t="s">
        <v>24</v>
      </c>
      <c r="B18" s="17">
        <v>6</v>
      </c>
      <c r="C18" s="18">
        <v>1004</v>
      </c>
      <c r="D18" s="17">
        <f t="shared" si="0"/>
        <v>6024</v>
      </c>
      <c r="E18" s="17">
        <f t="shared" si="1"/>
        <v>36</v>
      </c>
    </row>
    <row r="19" spans="1:10" x14ac:dyDescent="0.25">
      <c r="A19" s="16" t="s">
        <v>0</v>
      </c>
      <c r="B19" s="40">
        <f>SUM(B13:B18)</f>
        <v>21</v>
      </c>
      <c r="C19" s="18">
        <f>SUM(C13:C18)</f>
        <v>5664</v>
      </c>
      <c r="D19" s="18">
        <f>SUM(D13:D18)</f>
        <v>20262</v>
      </c>
      <c r="E19" s="18">
        <f>SUM(E13:E18)</f>
        <v>91</v>
      </c>
    </row>
    <row r="20" spans="1:10" x14ac:dyDescent="0.25">
      <c r="A20" s="27"/>
      <c r="B20" s="27"/>
      <c r="C20" s="27"/>
      <c r="D20" s="27"/>
      <c r="E20" s="27"/>
    </row>
    <row r="21" spans="1:10" ht="24.75" customHeight="1" x14ac:dyDescent="0.25">
      <c r="A21" s="60"/>
      <c r="B21" s="19" t="s">
        <v>17</v>
      </c>
      <c r="C21" s="51">
        <f>B19/B18</f>
        <v>3.5</v>
      </c>
      <c r="E21" s="27"/>
    </row>
    <row r="22" spans="1:10" x14ac:dyDescent="0.25">
      <c r="A22" s="27"/>
      <c r="B22" s="33"/>
      <c r="C22" s="20"/>
      <c r="D22" s="34"/>
      <c r="E22" s="27"/>
    </row>
    <row r="23" spans="1:10" ht="24" customHeight="1" x14ac:dyDescent="0.25">
      <c r="A23" s="61"/>
      <c r="B23" s="19" t="s">
        <v>17</v>
      </c>
      <c r="C23" s="51">
        <f>C19/B18</f>
        <v>944</v>
      </c>
      <c r="D23" s="27"/>
    </row>
    <row r="24" spans="1:10" x14ac:dyDescent="0.25">
      <c r="A24" s="27"/>
      <c r="B24" s="35"/>
      <c r="C24" s="19"/>
      <c r="D24" s="21"/>
      <c r="E24" s="27"/>
    </row>
    <row r="25" spans="1:10" ht="51" customHeight="1" x14ac:dyDescent="0.25">
      <c r="A25" s="27"/>
      <c r="B25" s="19" t="s">
        <v>18</v>
      </c>
      <c r="C25" s="51">
        <f>(D19-(B18*(C21*C23)))/(E19-(B18*C21^2))</f>
        <v>25.028571428571428</v>
      </c>
      <c r="E25" s="27"/>
    </row>
    <row r="26" spans="1:10" x14ac:dyDescent="0.25">
      <c r="A26" s="27"/>
      <c r="B26" s="35"/>
      <c r="C26" s="19"/>
      <c r="D26" s="21"/>
      <c r="E26" s="27"/>
    </row>
    <row r="27" spans="1:10" x14ac:dyDescent="0.25">
      <c r="A27" s="27"/>
      <c r="B27" s="22" t="s">
        <v>19</v>
      </c>
      <c r="C27" s="51">
        <f>C23-(C25*C21)</f>
        <v>856.4</v>
      </c>
      <c r="E27" s="27"/>
    </row>
    <row r="28" spans="1:10" x14ac:dyDescent="0.25">
      <c r="A28" s="27"/>
      <c r="B28" s="36"/>
      <c r="C28" s="27"/>
      <c r="D28" s="27"/>
      <c r="E28" s="27"/>
    </row>
    <row r="29" spans="1:10" ht="30.75" customHeight="1" x14ac:dyDescent="0.25">
      <c r="A29" s="33"/>
      <c r="B29" s="52" t="s">
        <v>20</v>
      </c>
      <c r="C29" s="51">
        <f>((B18+1)*C25)+C27</f>
        <v>1031.5999999999999</v>
      </c>
      <c r="D29" s="43" t="s">
        <v>40</v>
      </c>
      <c r="E29" s="51">
        <f>ROUND(C29,-1)</f>
        <v>1030</v>
      </c>
    </row>
    <row r="30" spans="1:10" x14ac:dyDescent="0.25">
      <c r="A30" s="33"/>
      <c r="B30" s="27"/>
      <c r="C30" s="27"/>
      <c r="D30" s="27"/>
      <c r="E30" s="27"/>
      <c r="H30" s="30"/>
      <c r="I30" s="30"/>
      <c r="J30" s="30"/>
    </row>
    <row r="31" spans="1:10" ht="31.5" x14ac:dyDescent="0.25">
      <c r="A31" s="80" t="s">
        <v>21</v>
      </c>
      <c r="B31" s="81"/>
      <c r="C31" s="81"/>
      <c r="D31" s="81"/>
      <c r="E31" s="82"/>
      <c r="F31" s="51">
        <f>FORECAST(7,C13:C18,B13:B18)</f>
        <v>1031.5999999999999</v>
      </c>
      <c r="H31" s="43" t="s">
        <v>42</v>
      </c>
      <c r="I31" s="51">
        <f>ROUND(F31,-1)</f>
        <v>1030</v>
      </c>
      <c r="J31" s="30"/>
    </row>
    <row r="32" spans="1:10" x14ac:dyDescent="0.25">
      <c r="A32" s="27"/>
      <c r="D32" s="23"/>
      <c r="E32" s="27"/>
      <c r="G32" s="37"/>
      <c r="H32" s="30"/>
      <c r="I32" s="30"/>
      <c r="J32" s="30"/>
    </row>
    <row r="34" spans="1:12" x14ac:dyDescent="0.25">
      <c r="A34" s="28" t="s">
        <v>26</v>
      </c>
      <c r="B34" s="28"/>
      <c r="C34" s="28"/>
    </row>
    <row r="35" spans="1:12" x14ac:dyDescent="0.25">
      <c r="A35" s="39" t="s">
        <v>27</v>
      </c>
      <c r="B35" s="39" t="s">
        <v>28</v>
      </c>
      <c r="C35" s="39" t="s">
        <v>29</v>
      </c>
      <c r="D35" s="39" t="s">
        <v>30</v>
      </c>
      <c r="E35" s="39" t="s">
        <v>31</v>
      </c>
      <c r="F35" s="39" t="s">
        <v>32</v>
      </c>
      <c r="G35" s="39" t="s">
        <v>33</v>
      </c>
      <c r="H35" s="39" t="s">
        <v>34</v>
      </c>
      <c r="I35" s="39" t="s">
        <v>35</v>
      </c>
      <c r="J35" s="39" t="s">
        <v>36</v>
      </c>
      <c r="K35" s="39" t="s">
        <v>37</v>
      </c>
      <c r="L35" s="39" t="s">
        <v>38</v>
      </c>
    </row>
    <row r="36" spans="1:12" x14ac:dyDescent="0.25">
      <c r="A36" s="39">
        <v>0.8</v>
      </c>
      <c r="B36" s="39">
        <v>0.7</v>
      </c>
      <c r="C36" s="39">
        <v>1.28</v>
      </c>
      <c r="D36" s="39">
        <v>1.3</v>
      </c>
      <c r="E36" s="39">
        <v>1.33</v>
      </c>
      <c r="F36" s="39">
        <v>1.18</v>
      </c>
      <c r="G36" s="39">
        <v>1.3</v>
      </c>
      <c r="H36" s="39">
        <v>1.05</v>
      </c>
      <c r="I36" s="39">
        <v>0.88</v>
      </c>
      <c r="J36" s="39">
        <v>0.86</v>
      </c>
      <c r="K36" s="39">
        <v>0.81</v>
      </c>
      <c r="L36" s="39">
        <v>0.51</v>
      </c>
    </row>
    <row r="38" spans="1:12" x14ac:dyDescent="0.25">
      <c r="A38" s="38" t="s">
        <v>3</v>
      </c>
      <c r="B38" s="38"/>
      <c r="C38" s="38"/>
      <c r="D38" s="38"/>
      <c r="E38" s="38"/>
      <c r="F38" s="38"/>
      <c r="G38" s="38"/>
      <c r="H38" s="38"/>
      <c r="I38" s="38"/>
    </row>
    <row r="40" spans="1:12" x14ac:dyDescent="0.25">
      <c r="A40" s="48" t="s">
        <v>4</v>
      </c>
      <c r="B40" s="48"/>
      <c r="C40" s="48"/>
      <c r="D40" s="48"/>
      <c r="E40" s="48"/>
      <c r="F40" s="48"/>
    </row>
    <row r="41" spans="1:12" x14ac:dyDescent="0.25">
      <c r="A41" s="56"/>
      <c r="B41" s="56" t="s">
        <v>27</v>
      </c>
      <c r="C41" s="56" t="s">
        <v>28</v>
      </c>
      <c r="D41" s="56" t="s">
        <v>29</v>
      </c>
      <c r="E41" s="56" t="s">
        <v>30</v>
      </c>
      <c r="F41" s="56" t="s">
        <v>43</v>
      </c>
    </row>
    <row r="42" spans="1:12" ht="22.5" customHeight="1" x14ac:dyDescent="0.25">
      <c r="A42" s="45" t="s">
        <v>44</v>
      </c>
      <c r="B42" s="56">
        <f>($I$31/12)*A36</f>
        <v>68.666666666666671</v>
      </c>
      <c r="C42" s="56">
        <f>($I$31/12)*B36</f>
        <v>60.083333333333329</v>
      </c>
      <c r="D42" s="56">
        <f>($I$31/12)*C36</f>
        <v>109.86666666666666</v>
      </c>
      <c r="E42" s="56">
        <f>($I$31/12)*D36</f>
        <v>111.58333333333333</v>
      </c>
      <c r="F42" s="56"/>
    </row>
    <row r="43" spans="1:12" x14ac:dyDescent="0.25">
      <c r="A43" s="45" t="s">
        <v>45</v>
      </c>
      <c r="B43" s="39">
        <f>ROUND(B42,)</f>
        <v>69</v>
      </c>
      <c r="C43" s="39">
        <f t="shared" ref="C43:E43" si="2">ROUND(C42,)</f>
        <v>60</v>
      </c>
      <c r="D43" s="39">
        <f t="shared" si="2"/>
        <v>110</v>
      </c>
      <c r="E43" s="39">
        <f t="shared" si="2"/>
        <v>112</v>
      </c>
      <c r="F43" s="39">
        <f>SUM(B43:E43)</f>
        <v>351</v>
      </c>
    </row>
    <row r="45" spans="1:12" x14ac:dyDescent="0.25">
      <c r="A45" s="48" t="s">
        <v>46</v>
      </c>
      <c r="B45" s="48"/>
    </row>
    <row r="46" spans="1:12" x14ac:dyDescent="0.25">
      <c r="A46" s="55"/>
      <c r="B46" s="39" t="s">
        <v>27</v>
      </c>
      <c r="C46" s="39" t="s">
        <v>28</v>
      </c>
      <c r="D46" s="39" t="s">
        <v>29</v>
      </c>
      <c r="E46" s="39" t="s">
        <v>30</v>
      </c>
      <c r="F46" s="39" t="s">
        <v>0</v>
      </c>
    </row>
    <row r="47" spans="1:12" x14ac:dyDescent="0.25">
      <c r="A47" s="55" t="s">
        <v>47</v>
      </c>
      <c r="B47" s="55">
        <f>H6-B43</f>
        <v>-18</v>
      </c>
      <c r="C47" s="55">
        <f t="shared" ref="C47:E47" si="3">I6-C43</f>
        <v>-7</v>
      </c>
      <c r="D47" s="55">
        <f t="shared" si="3"/>
        <v>-25</v>
      </c>
      <c r="E47" s="55">
        <f t="shared" si="3"/>
        <v>-30</v>
      </c>
      <c r="F47" s="55">
        <f>SUM(B47:E47)</f>
        <v>-80</v>
      </c>
    </row>
    <row r="49" spans="1:11" x14ac:dyDescent="0.25">
      <c r="A49" s="47" t="s">
        <v>53</v>
      </c>
      <c r="B49" s="47"/>
      <c r="C49" s="47"/>
      <c r="D49" s="47"/>
      <c r="E49" s="47"/>
      <c r="F49" s="42">
        <v>80</v>
      </c>
    </row>
    <row r="51" spans="1:11" x14ac:dyDescent="0.25">
      <c r="A51" s="38" t="s">
        <v>5</v>
      </c>
      <c r="B51" s="38"/>
      <c r="C51" s="38"/>
      <c r="D51" s="38"/>
      <c r="E51" s="38"/>
      <c r="F51" s="38"/>
    </row>
    <row r="52" spans="1:11" x14ac:dyDescent="0.25">
      <c r="A52" s="47" t="s">
        <v>6</v>
      </c>
      <c r="B52" s="47"/>
      <c r="C52" s="47"/>
      <c r="D52" s="47"/>
      <c r="E52" s="47"/>
      <c r="F52" s="47"/>
      <c r="G52" s="47"/>
      <c r="H52" s="47"/>
    </row>
    <row r="53" spans="1:11" x14ac:dyDescent="0.25">
      <c r="B53" s="39" t="s">
        <v>31</v>
      </c>
      <c r="C53" s="39" t="s">
        <v>32</v>
      </c>
      <c r="D53" s="39" t="s">
        <v>33</v>
      </c>
      <c r="E53" s="39" t="s">
        <v>34</v>
      </c>
      <c r="F53" s="39" t="s">
        <v>35</v>
      </c>
      <c r="G53" s="39" t="s">
        <v>36</v>
      </c>
      <c r="H53" s="39" t="s">
        <v>37</v>
      </c>
      <c r="I53" s="39" t="s">
        <v>38</v>
      </c>
      <c r="J53" s="39" t="s">
        <v>43</v>
      </c>
    </row>
    <row r="54" spans="1:11" ht="33" customHeight="1" x14ac:dyDescent="0.25">
      <c r="A54" s="55" t="s">
        <v>44</v>
      </c>
      <c r="B54" s="39">
        <f t="shared" ref="B54:I54" si="4">($I$31/12)*E36</f>
        <v>114.15833333333333</v>
      </c>
      <c r="C54" s="39">
        <f t="shared" si="4"/>
        <v>101.28333333333332</v>
      </c>
      <c r="D54" s="39">
        <f t="shared" si="4"/>
        <v>111.58333333333333</v>
      </c>
      <c r="E54" s="39">
        <f t="shared" si="4"/>
        <v>90.125</v>
      </c>
      <c r="F54" s="39">
        <f t="shared" si="4"/>
        <v>75.533333333333331</v>
      </c>
      <c r="G54" s="39">
        <f t="shared" si="4"/>
        <v>73.816666666666663</v>
      </c>
      <c r="H54" s="39">
        <f t="shared" si="4"/>
        <v>69.525000000000006</v>
      </c>
      <c r="I54" s="39">
        <f t="shared" si="4"/>
        <v>43.774999999999999</v>
      </c>
      <c r="J54" s="45"/>
      <c r="K54" s="58"/>
    </row>
    <row r="55" spans="1:11" ht="32.25" customHeight="1" x14ac:dyDescent="0.25">
      <c r="A55" s="55" t="s">
        <v>45</v>
      </c>
      <c r="B55" s="39">
        <f>ROUND(B54,)</f>
        <v>114</v>
      </c>
      <c r="C55" s="39">
        <f t="shared" ref="C55:I55" si="5">ROUND(C54,)</f>
        <v>101</v>
      </c>
      <c r="D55" s="39">
        <f t="shared" si="5"/>
        <v>112</v>
      </c>
      <c r="E55" s="39">
        <f t="shared" si="5"/>
        <v>90</v>
      </c>
      <c r="F55" s="39">
        <f t="shared" si="5"/>
        <v>76</v>
      </c>
      <c r="G55" s="39">
        <f t="shared" si="5"/>
        <v>74</v>
      </c>
      <c r="H55" s="39">
        <f t="shared" si="5"/>
        <v>70</v>
      </c>
      <c r="I55" s="39">
        <f t="shared" si="5"/>
        <v>44</v>
      </c>
      <c r="J55" s="39">
        <f>SUM(B55:I55)</f>
        <v>681</v>
      </c>
    </row>
    <row r="56" spans="1:11" ht="32.25" customHeight="1" x14ac:dyDescent="0.25">
      <c r="A56" s="4" t="s">
        <v>52</v>
      </c>
      <c r="B56" s="59">
        <f>B55/$J$55</f>
        <v>0.16740088105726872</v>
      </c>
      <c r="C56" s="59">
        <f t="shared" ref="C56:J56" si="6">C55/$J$55</f>
        <v>0.14831130690161526</v>
      </c>
      <c r="D56" s="59">
        <f t="shared" si="6"/>
        <v>0.1644640234948605</v>
      </c>
      <c r="E56" s="59">
        <f t="shared" si="6"/>
        <v>0.13215859030837004</v>
      </c>
      <c r="F56" s="59">
        <f t="shared" si="6"/>
        <v>0.11160058737151249</v>
      </c>
      <c r="G56" s="59">
        <f t="shared" si="6"/>
        <v>0.10866372980910426</v>
      </c>
      <c r="H56" s="59">
        <f t="shared" si="6"/>
        <v>0.10279001468428781</v>
      </c>
      <c r="I56" s="59">
        <f t="shared" si="6"/>
        <v>6.4610866372980913E-2</v>
      </c>
      <c r="J56" s="59">
        <f t="shared" si="6"/>
        <v>1</v>
      </c>
    </row>
    <row r="57" spans="1:11" ht="31.5" x14ac:dyDescent="0.25">
      <c r="A57" s="4" t="s">
        <v>55</v>
      </c>
      <c r="B57" s="39">
        <f t="shared" ref="B57:I57" si="7">ROUND($F$49*B56,)</f>
        <v>13</v>
      </c>
      <c r="C57" s="39">
        <f t="shared" si="7"/>
        <v>12</v>
      </c>
      <c r="D57" s="39">
        <f t="shared" si="7"/>
        <v>13</v>
      </c>
      <c r="E57" s="39">
        <f t="shared" si="7"/>
        <v>11</v>
      </c>
      <c r="F57" s="39">
        <f t="shared" si="7"/>
        <v>9</v>
      </c>
      <c r="G57" s="39">
        <f t="shared" si="7"/>
        <v>9</v>
      </c>
      <c r="H57" s="39">
        <f t="shared" si="7"/>
        <v>8</v>
      </c>
      <c r="I57" s="39">
        <f t="shared" si="7"/>
        <v>5</v>
      </c>
      <c r="J57" s="39">
        <f>SUM(B57:I57)</f>
        <v>80</v>
      </c>
    </row>
    <row r="58" spans="1:11" ht="31.5" x14ac:dyDescent="0.25">
      <c r="A58" s="4" t="s">
        <v>54</v>
      </c>
      <c r="B58" s="46">
        <f>B55+B57</f>
        <v>127</v>
      </c>
      <c r="C58" s="46">
        <f t="shared" ref="C58:I58" si="8">C55+C57</f>
        <v>113</v>
      </c>
      <c r="D58" s="46">
        <f t="shared" si="8"/>
        <v>125</v>
      </c>
      <c r="E58" s="46">
        <f t="shared" si="8"/>
        <v>101</v>
      </c>
      <c r="F58" s="46">
        <f t="shared" si="8"/>
        <v>85</v>
      </c>
      <c r="G58" s="46">
        <f t="shared" si="8"/>
        <v>83</v>
      </c>
      <c r="H58" s="46">
        <f t="shared" si="8"/>
        <v>78</v>
      </c>
      <c r="I58" s="46">
        <f t="shared" si="8"/>
        <v>49</v>
      </c>
      <c r="J58" s="46">
        <f>SUM(B58:I58)</f>
        <v>761</v>
      </c>
    </row>
    <row r="60" spans="1:11" x14ac:dyDescent="0.25">
      <c r="A60" s="47" t="s">
        <v>58</v>
      </c>
      <c r="B60" s="47"/>
      <c r="C60" s="47"/>
      <c r="D60" s="47"/>
      <c r="E60" s="47"/>
      <c r="F60" s="47"/>
      <c r="G60" s="47"/>
    </row>
    <row r="62" spans="1:11" x14ac:dyDescent="0.25">
      <c r="B62" s="39" t="s">
        <v>31</v>
      </c>
      <c r="C62" s="39" t="s">
        <v>32</v>
      </c>
      <c r="D62" s="39" t="s">
        <v>33</v>
      </c>
      <c r="E62" s="39" t="s">
        <v>34</v>
      </c>
      <c r="F62" s="39" t="s">
        <v>35</v>
      </c>
      <c r="G62" s="39" t="s">
        <v>36</v>
      </c>
      <c r="H62" s="39" t="s">
        <v>37</v>
      </c>
      <c r="I62" s="39" t="s">
        <v>38</v>
      </c>
      <c r="J62" s="39" t="s">
        <v>0</v>
      </c>
    </row>
    <row r="63" spans="1:11" ht="26.25" customHeight="1" x14ac:dyDescent="0.25">
      <c r="A63" s="55" t="s">
        <v>44</v>
      </c>
      <c r="B63" s="39">
        <f t="shared" ref="B63:I63" si="9">($I$31/12)*E36</f>
        <v>114.15833333333333</v>
      </c>
      <c r="C63" s="39">
        <f t="shared" si="9"/>
        <v>101.28333333333332</v>
      </c>
      <c r="D63" s="39">
        <f t="shared" si="9"/>
        <v>111.58333333333333</v>
      </c>
      <c r="E63" s="39">
        <f t="shared" si="9"/>
        <v>90.125</v>
      </c>
      <c r="F63" s="39">
        <f t="shared" si="9"/>
        <v>75.533333333333331</v>
      </c>
      <c r="G63" s="39">
        <f t="shared" si="9"/>
        <v>73.816666666666663</v>
      </c>
      <c r="H63" s="39">
        <f t="shared" si="9"/>
        <v>69.525000000000006</v>
      </c>
      <c r="I63" s="39">
        <f t="shared" si="9"/>
        <v>43.774999999999999</v>
      </c>
      <c r="J63" s="39"/>
    </row>
    <row r="64" spans="1:11" ht="26.25" customHeight="1" x14ac:dyDescent="0.25">
      <c r="A64" s="55" t="s">
        <v>59</v>
      </c>
      <c r="B64" s="39">
        <f>ROUND(B63,)</f>
        <v>114</v>
      </c>
      <c r="C64" s="39">
        <f t="shared" ref="C64:I64" si="10">ROUND(C63,)</f>
        <v>101</v>
      </c>
      <c r="D64" s="39">
        <f t="shared" si="10"/>
        <v>112</v>
      </c>
      <c r="E64" s="39">
        <f t="shared" si="10"/>
        <v>90</v>
      </c>
      <c r="F64" s="39">
        <f t="shared" si="10"/>
        <v>76</v>
      </c>
      <c r="G64" s="39">
        <f t="shared" si="10"/>
        <v>74</v>
      </c>
      <c r="H64" s="39">
        <f t="shared" si="10"/>
        <v>70</v>
      </c>
      <c r="I64" s="39">
        <f t="shared" si="10"/>
        <v>44</v>
      </c>
      <c r="J64" s="39">
        <f>SUM(B64:I64)</f>
        <v>681</v>
      </c>
    </row>
    <row r="65" spans="1:10" ht="30.75" customHeight="1" x14ac:dyDescent="0.25">
      <c r="A65" s="4" t="s">
        <v>56</v>
      </c>
      <c r="B65" s="39">
        <f t="shared" ref="B65:I65" si="11">$F$49/8</f>
        <v>10</v>
      </c>
      <c r="C65" s="39">
        <f t="shared" si="11"/>
        <v>10</v>
      </c>
      <c r="D65" s="39">
        <f t="shared" si="11"/>
        <v>10</v>
      </c>
      <c r="E65" s="39">
        <f t="shared" si="11"/>
        <v>10</v>
      </c>
      <c r="F65" s="39">
        <f t="shared" si="11"/>
        <v>10</v>
      </c>
      <c r="G65" s="39">
        <f t="shared" si="11"/>
        <v>10</v>
      </c>
      <c r="H65" s="39">
        <f t="shared" si="11"/>
        <v>10</v>
      </c>
      <c r="I65" s="39">
        <f t="shared" si="11"/>
        <v>10</v>
      </c>
      <c r="J65" s="39">
        <f>SUM(B65:I65)</f>
        <v>80</v>
      </c>
    </row>
    <row r="66" spans="1:10" ht="26.25" customHeight="1" x14ac:dyDescent="0.25">
      <c r="A66" s="4" t="s">
        <v>57</v>
      </c>
      <c r="B66" s="46">
        <f>B64+B65</f>
        <v>124</v>
      </c>
      <c r="C66" s="46">
        <f t="shared" ref="C66:I66" si="12">C64+C65</f>
        <v>111</v>
      </c>
      <c r="D66" s="46">
        <f t="shared" si="12"/>
        <v>122</v>
      </c>
      <c r="E66" s="46">
        <f t="shared" si="12"/>
        <v>100</v>
      </c>
      <c r="F66" s="46">
        <f t="shared" si="12"/>
        <v>86</v>
      </c>
      <c r="G66" s="46">
        <f t="shared" si="12"/>
        <v>84</v>
      </c>
      <c r="H66" s="46">
        <f t="shared" si="12"/>
        <v>80</v>
      </c>
      <c r="I66" s="46">
        <f t="shared" si="12"/>
        <v>54</v>
      </c>
      <c r="J66" s="46">
        <f>SUM(B66:I66)</f>
        <v>761</v>
      </c>
    </row>
  </sheetData>
  <mergeCells count="1">
    <mergeCell ref="A31:E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Corr. Ex3 - Chap18</vt:lpstr>
      <vt:lpstr>Corr Ex4-Chap18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COÏC</dc:creator>
  <cp:lastModifiedBy>Bernard COÏC</cp:lastModifiedBy>
  <dcterms:created xsi:type="dcterms:W3CDTF">2021-08-28T13:36:47Z</dcterms:created>
  <dcterms:modified xsi:type="dcterms:W3CDTF">2021-11-09T17:36:13Z</dcterms:modified>
</cp:coreProperties>
</file>