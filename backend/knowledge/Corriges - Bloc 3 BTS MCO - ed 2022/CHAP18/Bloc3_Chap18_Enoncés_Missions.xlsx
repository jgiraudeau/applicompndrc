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chap 18 fixer des objectifs\Fichiers Ecel Chap 18 Regroupés\"/>
    </mc:Choice>
  </mc:AlternateContent>
  <bookViews>
    <workbookView xWindow="960" yWindow="945" windowWidth="16995" windowHeight="6570"/>
  </bookViews>
  <sheets>
    <sheet name="Q1- Mission 1 CH18" sheetId="5" r:id="rId1"/>
    <sheet name="Q5 et 6-Mission 2 CH18" sheetId="6" r:id="rId2"/>
    <sheet name="Q8, 9 et 10-Mission 3 CH18 " sheetId="9" r:id="rId3"/>
  </sheets>
  <calcPr calcId="162913"/>
</workbook>
</file>

<file path=xl/calcChain.xml><?xml version="1.0" encoding="utf-8"?>
<calcChain xmlns="http://schemas.openxmlformats.org/spreadsheetml/2006/main">
  <c r="N10" i="6" l="1"/>
</calcChain>
</file>

<file path=xl/sharedStrings.xml><?xml version="1.0" encoding="utf-8"?>
<sst xmlns="http://schemas.openxmlformats.org/spreadsheetml/2006/main" count="155" uniqueCount="114">
  <si>
    <t>Mars</t>
  </si>
  <si>
    <t>Avril</t>
  </si>
  <si>
    <t>Mai</t>
  </si>
  <si>
    <t>Juin</t>
  </si>
  <si>
    <t>Août</t>
  </si>
  <si>
    <t>Total</t>
  </si>
  <si>
    <t>Coefficients saisonniers</t>
  </si>
  <si>
    <t>Charges salariales installation</t>
  </si>
  <si>
    <t>Charges salariales animation</t>
  </si>
  <si>
    <t>Alarme</t>
  </si>
  <si>
    <t>Coût de distribution catalogues</t>
  </si>
  <si>
    <t>Publicité presse</t>
  </si>
  <si>
    <t>Publicité radio</t>
  </si>
  <si>
    <t>Années</t>
  </si>
  <si>
    <t>xi yi</t>
  </si>
  <si>
    <t>xi²</t>
  </si>
  <si>
    <t>Nom prénom</t>
  </si>
  <si>
    <t>a =</t>
  </si>
  <si>
    <t>Janv.</t>
  </si>
  <si>
    <t>Fév.</t>
  </si>
  <si>
    <t>Juil.</t>
  </si>
  <si>
    <t>Sept.</t>
  </si>
  <si>
    <t>Oct.</t>
  </si>
  <si>
    <t>Nov.</t>
  </si>
  <si>
    <t>Déc.</t>
  </si>
  <si>
    <t>Total charges fixes</t>
  </si>
  <si>
    <t>Vendeurs</t>
  </si>
  <si>
    <t>années</t>
  </si>
  <si>
    <t>Rang des années</t>
  </si>
  <si>
    <t>Chiffre d’affaires</t>
  </si>
  <si>
    <t xml:space="preserve">b= </t>
  </si>
  <si>
    <t>Mission 1 Fixer des objectifs</t>
  </si>
  <si>
    <t>N–4</t>
  </si>
  <si>
    <t>N–3</t>
  </si>
  <si>
    <t>N–2</t>
  </si>
  <si>
    <t>N–1</t>
  </si>
  <si>
    <t>Totaux</t>
  </si>
  <si>
    <t>xi</t>
  </si>
  <si>
    <t>yi</t>
  </si>
  <si>
    <t>Données</t>
  </si>
  <si>
    <t>CHAP 18 FIXER LES OBJECTIFS- CAS LITRIPLUS</t>
  </si>
  <si>
    <t>METHODE DES MOINDRES CARRES</t>
  </si>
  <si>
    <t>6. Mesurez les écarts sur objectifs pour les quatre premiers mois et indiquez si l’objectif annuel est encore envisageable. Justifiez votre réponse.</t>
  </si>
  <si>
    <t>Mission 2 Piloter par objectifs</t>
  </si>
  <si>
    <t>CA réalisé</t>
  </si>
  <si>
    <t>Écarts sur objectif</t>
  </si>
  <si>
    <t>5. Déterminez les objectifs mensuels de chiffre d’affaires pour l’année N.</t>
  </si>
  <si>
    <t>Prévision mensuelle du CA HT</t>
  </si>
  <si>
    <t>Objectifs mensuels de chiffre d’affaires pour l’année N.</t>
  </si>
  <si>
    <t>Ecarts sur objectifs pour les quatre premiers mois</t>
  </si>
  <si>
    <t>8. Calculez le niveau de chiffre d’affaires qui permettra de rentabiliser cette promotion.</t>
  </si>
  <si>
    <t>Mission 3 Hiérarchiser les objectifs</t>
  </si>
  <si>
    <t>9. Déterminez l’objectif de chiffre d’affaires que l’équipe commerciale devra réaliser pour répondre aux souhaits du manageur de l’unité commerciale.</t>
  </si>
  <si>
    <t xml:space="preserve">10. Calculez et qualifiez les objectifs de chiffre d’affaires à attribuer à chaque vendeur pour l’opération promotionnelle. </t>
  </si>
  <si>
    <t>Calcul des charges fixes</t>
  </si>
  <si>
    <t>Charges fixes</t>
  </si>
  <si>
    <t>Montant</t>
  </si>
  <si>
    <t>Coût catalogues</t>
  </si>
  <si>
    <t>Nombre de jours de travail pour l'installation:</t>
  </si>
  <si>
    <t>Nombre de personnes nécessaires:</t>
  </si>
  <si>
    <t>Nombre d'heures de travail par jour :</t>
  </si>
  <si>
    <t>Fonction</t>
  </si>
  <si>
    <t>Type de contrat</t>
  </si>
  <si>
    <t>Julie Lamiral</t>
  </si>
  <si>
    <t>Vendeuse</t>
  </si>
  <si>
    <t>CDI temps partiel 24 h.</t>
  </si>
  <si>
    <t>Morgan Loux</t>
  </si>
  <si>
    <t>Vendeur</t>
  </si>
  <si>
    <t>CDI à temps plein</t>
  </si>
  <si>
    <t>Emma Pillaud</t>
  </si>
  <si>
    <t>CDI temps plein</t>
  </si>
  <si>
    <t>Damien Vital</t>
  </si>
  <si>
    <t>Heures de présence des vendeurs</t>
  </si>
  <si>
    <t>Nombre de prospectus distribués:</t>
  </si>
  <si>
    <t>Coût pour l’installation d’une alarme:</t>
  </si>
  <si>
    <t>Coût de distribution du prospectus (le mille):</t>
  </si>
  <si>
    <t>Coût de la page de l'annonce presse(une semaine):</t>
  </si>
  <si>
    <t>Coût de de l'annonce  radio (une semaine):</t>
  </si>
  <si>
    <t xml:space="preserve">Durée de la promotion (semaines) : </t>
  </si>
  <si>
    <t xml:space="preserve">Heures de présence sous chapiteau </t>
  </si>
  <si>
    <t>Coût unitaire du prospectus distribué  (le mille):</t>
  </si>
  <si>
    <t xml:space="preserve">Coût horaire de la main-d’œuvre  : </t>
  </si>
  <si>
    <t>Coûts pour l'installation du chapiteau</t>
  </si>
  <si>
    <t>Charges variables en % du CA HT</t>
  </si>
  <si>
    <t>Chiffre d’affaires qui permettra de rentabiliser cette promotion (Seuil de rentabilité) =</t>
  </si>
  <si>
    <t>Objectif de progression du chiffre d’affaires pour la promotion en N :</t>
  </si>
  <si>
    <t xml:space="preserve">Objectif de chiffre d’affaires de la promotion en N = </t>
  </si>
  <si>
    <t>Objectifs de CA de la promotion année N</t>
  </si>
  <si>
    <t>=</t>
  </si>
  <si>
    <t>Prévision N =</t>
  </si>
  <si>
    <t>Calcul de la prévision en utilisant la formule EXCEL</t>
  </si>
  <si>
    <t xml:space="preserve">Écarts sur objectif en % : </t>
  </si>
  <si>
    <t>1. Établissez une prévision du chiffre d’affaires de l’année N par la méthode des moindres carrés.</t>
  </si>
  <si>
    <t>Chiffre d’affaires en €</t>
  </si>
  <si>
    <r>
      <t xml:space="preserve">Chiffre d'affaires prévisionnel année N:
</t>
    </r>
    <r>
      <rPr>
        <b/>
        <sz val="12"/>
        <color rgb="FF000000"/>
        <rFont val="Calibri"/>
        <family val="2"/>
        <scheme val="minor"/>
      </rPr>
      <t>(Calculé en mission 1, question 1)</t>
    </r>
  </si>
  <si>
    <t>Ressource 7 : Coefficients saisonniers pour les ventes de Litriplus Metz</t>
  </si>
  <si>
    <t>Ressource 8 : Chiffres d'affaires de Janvier à Avril N de Litriplus Metz</t>
  </si>
  <si>
    <t>Ressource 12 : Mail reçu par Jean François Rolland - Eléments de coûts concernant l'opération promotionnelle</t>
  </si>
  <si>
    <t>Devis  pour la campagne de publicité</t>
  </si>
  <si>
    <t>CHARGES FIXES:</t>
  </si>
  <si>
    <t>CHARGES VARIABLES</t>
  </si>
  <si>
    <t>Ressource 13 : Temps de présence de l'équipe commerciale pour la promotion</t>
  </si>
  <si>
    <t>CALCULS DU SEUIL DE RENTABILITE</t>
  </si>
  <si>
    <t>Ressource 11 : Note de Jean François Rolland</t>
  </si>
  <si>
    <t>Objectifs CA n-1</t>
  </si>
  <si>
    <t>Chiffre d’affaires hors taxes réalisé</t>
  </si>
  <si>
    <t>Marge brute dégagée</t>
  </si>
  <si>
    <t xml:space="preserve">Morgan Loux </t>
  </si>
  <si>
    <t xml:space="preserve">Emma Pillaud </t>
  </si>
  <si>
    <t xml:space="preserve">Damien Vital </t>
  </si>
  <si>
    <t>Ressource 14 : Résultats de l'opération "Literie - 25%" de l'an passé</t>
  </si>
  <si>
    <t>% heures de présence par vendeur</t>
  </si>
  <si>
    <t>Heures de présence des vendeurs pour la promotion</t>
  </si>
  <si>
    <t>Ressource 1 : Mémo de Jean françois rolland- Historique des ventes de Litriplus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</si>
</sst>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0.000%"/>
    <numFmt numFmtId="165" formatCode="#,##0.00\ &quot;€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4" borderId="0" xfId="0" applyFont="1" applyFill="1"/>
    <xf numFmtId="0" fontId="4" fillId="0" borderId="0" xfId="0" applyFont="1"/>
    <xf numFmtId="0" fontId="8" fillId="0" borderId="0" xfId="0" applyFont="1"/>
    <xf numFmtId="0" fontId="7" fillId="0" borderId="0" xfId="0" applyFont="1"/>
    <xf numFmtId="0" fontId="11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12" fillId="0" borderId="0" xfId="0" applyFont="1" applyBorder="1"/>
    <xf numFmtId="0" fontId="8" fillId="0" borderId="1" xfId="0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/>
    <xf numFmtId="0" fontId="9" fillId="0" borderId="1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3" fillId="5" borderId="0" xfId="0" applyFont="1" applyFill="1"/>
    <xf numFmtId="0" fontId="4" fillId="5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6" borderId="0" xfId="0" applyFont="1" applyFill="1"/>
    <xf numFmtId="0" fontId="0" fillId="6" borderId="0" xfId="0" applyFont="1" applyFill="1"/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8" borderId="0" xfId="0" applyFont="1" applyFill="1" applyAlignment="1">
      <alignment horizontal="left" vertical="center"/>
    </xf>
    <xf numFmtId="0" fontId="2" fillId="0" borderId="0" xfId="0" applyFont="1" applyFill="1"/>
    <xf numFmtId="0" fontId="0" fillId="0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44" fontId="8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44" fontId="8" fillId="0" borderId="1" xfId="2" applyFont="1" applyBorder="1" applyAlignment="1">
      <alignment horizontal="right" vertical="center" wrapText="1"/>
    </xf>
    <xf numFmtId="0" fontId="3" fillId="6" borderId="0" xfId="0" applyFont="1" applyFill="1"/>
    <xf numFmtId="0" fontId="3" fillId="0" borderId="1" xfId="0" applyFont="1" applyBorder="1" applyAlignment="1">
      <alignment vertical="center" wrapText="1"/>
    </xf>
    <xf numFmtId="44" fontId="3" fillId="0" borderId="1" xfId="2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44" fontId="4" fillId="0" borderId="1" xfId="2" applyFont="1" applyBorder="1" applyAlignment="1">
      <alignment horizontal="center" vertical="center"/>
    </xf>
    <xf numFmtId="0" fontId="4" fillId="0" borderId="0" xfId="0" applyFont="1" applyBorder="1"/>
    <xf numFmtId="44" fontId="4" fillId="0" borderId="0" xfId="2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3" fillId="0" borderId="0" xfId="0" quotePrefix="1" applyFont="1" applyAlignment="1">
      <alignment horizontal="right"/>
    </xf>
    <xf numFmtId="0" fontId="10" fillId="6" borderId="1" xfId="0" applyFont="1" applyFill="1" applyBorder="1" applyAlignment="1">
      <alignment wrapText="1"/>
    </xf>
    <xf numFmtId="0" fontId="10" fillId="0" borderId="0" xfId="0" applyFont="1" applyFill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6" borderId="0" xfId="0" applyFont="1" applyFill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0" fontId="8" fillId="0" borderId="1" xfId="1" applyNumberFormat="1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6" fillId="7" borderId="0" xfId="0" applyFont="1" applyFill="1"/>
    <xf numFmtId="0" fontId="5" fillId="7" borderId="0" xfId="0" applyFont="1" applyFill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9" fillId="7" borderId="0" xfId="0" applyFont="1" applyFill="1"/>
    <xf numFmtId="0" fontId="8" fillId="9" borderId="0" xfId="0" applyFont="1" applyFill="1"/>
    <xf numFmtId="0" fontId="10" fillId="6" borderId="0" xfId="0" applyFont="1" applyFill="1"/>
    <xf numFmtId="0" fontId="8" fillId="0" borderId="4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10" fontId="9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10" borderId="0" xfId="0" applyFont="1" applyFill="1"/>
    <xf numFmtId="0" fontId="11" fillId="0" borderId="0" xfId="0" applyFont="1" applyAlignment="1">
      <alignment vertical="center"/>
    </xf>
    <xf numFmtId="0" fontId="9" fillId="6" borderId="0" xfId="0" applyFont="1" applyFill="1"/>
    <xf numFmtId="0" fontId="13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8" fillId="8" borderId="0" xfId="0" applyFont="1" applyFill="1"/>
    <xf numFmtId="0" fontId="8" fillId="0" borderId="0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6" borderId="0" xfId="0" applyFont="1" applyFill="1"/>
    <xf numFmtId="0" fontId="8" fillId="0" borderId="3" xfId="0" applyFont="1" applyBorder="1" applyAlignment="1">
      <alignment horizontal="center" vertical="center"/>
    </xf>
    <xf numFmtId="0" fontId="0" fillId="0" borderId="0" xfId="0" applyFont="1" applyBorder="1"/>
    <xf numFmtId="0" fontId="3" fillId="0" borderId="0" xfId="0" applyFont="1" applyBorder="1"/>
    <xf numFmtId="0" fontId="0" fillId="9" borderId="0" xfId="0" applyFont="1" applyFill="1"/>
    <xf numFmtId="0" fontId="3" fillId="6" borderId="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9" fontId="4" fillId="0" borderId="0" xfId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9" fontId="4" fillId="9" borderId="0" xfId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42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4" fontId="4" fillId="0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44" fontId="4" fillId="0" borderId="0" xfId="2" applyFont="1" applyFill="1" applyBorder="1" applyAlignment="1">
      <alignment horizontal="center" vertic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26</xdr:row>
      <xdr:rowOff>2</xdr:rowOff>
    </xdr:from>
    <xdr:to>
      <xdr:col>1</xdr:col>
      <xdr:colOff>1095375</xdr:colOff>
      <xdr:row>26</xdr:row>
      <xdr:rowOff>323850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771527" y="8010527"/>
              <a:ext cx="1085848" cy="323848"/>
            </a:xfrm>
            <a:prstGeom prst="rect">
              <a:avLst/>
            </a:prstGeom>
            <a:solidFill>
              <a:srgbClr val="00FF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fr-FR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𝐲</m:t>
                      </m:r>
                      <m:r>
                        <a:rPr lang="fr-FR" sz="1400" b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 </m:t>
                      </m:r>
                    </m:e>
                  </m:bar>
                </m:oMath>
              </a14:m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en-US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𝐱</m:t>
                      </m:r>
                    </m:e>
                  </m:bar>
                </m:oMath>
              </a14:m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771527" y="8010527"/>
              <a:ext cx="1085848" cy="323848"/>
            </a:xfrm>
            <a:prstGeom prst="rect">
              <a:avLst/>
            </a:prstGeom>
            <a:solidFill>
              <a:srgbClr val="00FF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¯(</a:t>
              </a:r>
              <a:r>
                <a:rPr lang="fr-FR" sz="1400" b="1" i="0">
                  <a:effectLst/>
                  <a:latin typeface="Cambria Math"/>
                  <a:ea typeface="Calibri"/>
                  <a:cs typeface="Times New Roman"/>
                </a:rPr>
                <a:t>𝐲 </a:t>
              </a:r>
              <a:r>
                <a:rPr lang="fr-FR" sz="14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</a:t>
              </a: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</a:t>
              </a:r>
              <a:r>
                <a:rPr lang="en-US" sz="14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twoCellAnchor>
    <xdr:from>
      <xdr:col>1</xdr:col>
      <xdr:colOff>9525</xdr:colOff>
      <xdr:row>24</xdr:row>
      <xdr:rowOff>19050</xdr:rowOff>
    </xdr:from>
    <xdr:to>
      <xdr:col>2</xdr:col>
      <xdr:colOff>314325</xdr:colOff>
      <xdr:row>24</xdr:row>
      <xdr:rowOff>552450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771525" y="7210425"/>
              <a:ext cx="1409700" cy="533400"/>
            </a:xfrm>
            <a:prstGeom prst="rect">
              <a:avLst/>
            </a:prstGeom>
            <a:solidFill>
              <a:srgbClr val="00FF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1" i="1">
                        <a:effectLst/>
                        <a:latin typeface="Cambria Math"/>
                        <a:ea typeface="Calibri"/>
                        <a:cs typeface="Times New Roman"/>
                      </a:rPr>
                      <m:t>𝐚</m:t>
                    </m:r>
                    <m:r>
                      <a:rPr lang="en-US" sz="1100" b="1">
                        <a:effectLst/>
                        <a:latin typeface="Cambria Math"/>
                        <a:ea typeface="Calibri"/>
                        <a:cs typeface="Times New Roman"/>
                      </a:rPr>
                      <m:t> =</m:t>
                    </m:r>
                    <m:f>
                      <m:fPr>
                        <m:ctrlPr>
                          <a:rPr lang="fr-FR" sz="1200" b="1" i="1">
                            <a:effectLst/>
                            <a:latin typeface="Cambria Math" panose="02040503050406030204" pitchFamily="18" charset="0"/>
                            <a:ea typeface="Calibri"/>
                            <a:cs typeface="Times New Roman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</m:nary>
                        <m:sSub>
                          <m:sSub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b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  <m:sub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𝐢</m:t>
                            </m:r>
                          </m:sub>
                        </m:sSub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𝐱</m:t>
                            </m:r>
                          </m:e>
                        </m:acc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</m:acc>
                      </m:num>
                      <m:den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</m:e>
                        </m:nary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r>
                          <a:rPr lang="fr-FR" sz="1200" b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 </m:t>
                        </m:r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acc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</m:acc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771525" y="7210425"/>
              <a:ext cx="1409700" cy="533400"/>
            </a:xfrm>
            <a:prstGeom prst="rect">
              <a:avLst/>
            </a:prstGeom>
            <a:solidFill>
              <a:srgbClr val="00FF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US" sz="1100" b="1" i="0">
                  <a:effectLst/>
                  <a:latin typeface="Cambria Math"/>
                  <a:ea typeface="Calibri"/>
                  <a:cs typeface="Times New Roman"/>
                </a:rPr>
                <a:t>𝐚 =</a:t>
              </a:r>
              <a:r>
                <a:rPr lang="fr-FR" sz="1200" b="1" i="0">
                  <a:effectLst/>
                  <a:latin typeface="Cambria Math" panose="02040503050406030204" pitchFamily="18" charset="0"/>
                  <a:cs typeface="Times New Roman"/>
                </a:rPr>
                <a:t>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 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𝐢−𝐧𝐱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̅(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 ̅)/(∑1▒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〖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〗^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𝟐−𝐧 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)</a:t>
              </a:r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twoCellAnchor editAs="oneCell">
    <xdr:from>
      <xdr:col>1</xdr:col>
      <xdr:colOff>390525</xdr:colOff>
      <xdr:row>20</xdr:row>
      <xdr:rowOff>38100</xdr:rowOff>
    </xdr:from>
    <xdr:to>
      <xdr:col>1</xdr:col>
      <xdr:colOff>685800</xdr:colOff>
      <xdr:row>20</xdr:row>
      <xdr:rowOff>257263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6"/>
            <xdr:cNvSpPr txBox="1"/>
          </xdr:nvSpPr>
          <xdr:spPr>
            <a:xfrm>
              <a:off x="1905000" y="58388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ctr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8" name="ZoneTexte 6"/>
            <xdr:cNvSpPr txBox="1"/>
          </xdr:nvSpPr>
          <xdr:spPr>
            <a:xfrm>
              <a:off x="1905000" y="58388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ctr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𝒙 ̅</a:t>
              </a:r>
              <a:endParaRPr lang="fr-FR" sz="1100" b="1"/>
            </a:p>
          </xdr:txBody>
        </xdr:sp>
      </mc:Fallback>
    </mc:AlternateContent>
    <xdr:clientData/>
  </xdr:twoCellAnchor>
  <xdr:twoCellAnchor editAs="oneCell">
    <xdr:from>
      <xdr:col>1</xdr:col>
      <xdr:colOff>400050</xdr:colOff>
      <xdr:row>22</xdr:row>
      <xdr:rowOff>9525</xdr:rowOff>
    </xdr:from>
    <xdr:to>
      <xdr:col>1</xdr:col>
      <xdr:colOff>695325</xdr:colOff>
      <xdr:row>22</xdr:row>
      <xdr:rowOff>228688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5"/>
            <xdr:cNvSpPr txBox="1"/>
          </xdr:nvSpPr>
          <xdr:spPr>
            <a:xfrm>
              <a:off x="1914525" y="6324600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9" name="ZoneTexte 5"/>
            <xdr:cNvSpPr txBox="1"/>
          </xdr:nvSpPr>
          <xdr:spPr>
            <a:xfrm>
              <a:off x="1914525" y="6324600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𝒚 ̅</a:t>
              </a:r>
              <a:endParaRPr lang="fr-FR" sz="1100" b="1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H32" sqref="H32"/>
    </sheetView>
  </sheetViews>
  <sheetFormatPr baseColWidth="10" defaultRowHeight="15.75" x14ac:dyDescent="0.25"/>
  <cols>
    <col min="1" max="1" width="11.42578125" style="9"/>
    <col min="2" max="2" width="16.5703125" style="9" customWidth="1"/>
    <col min="3" max="3" width="13.85546875" style="9" customWidth="1"/>
    <col min="4" max="4" width="12.5703125" style="9" customWidth="1"/>
    <col min="5" max="16384" width="11.42578125" style="9"/>
  </cols>
  <sheetData>
    <row r="1" spans="1:9" x14ac:dyDescent="0.25">
      <c r="A1" s="22" t="s">
        <v>40</v>
      </c>
      <c r="B1" s="22"/>
      <c r="C1" s="22"/>
      <c r="D1" s="23"/>
    </row>
    <row r="2" spans="1:9" x14ac:dyDescent="0.25">
      <c r="A2" s="21" t="s">
        <v>31</v>
      </c>
      <c r="B2" s="8"/>
      <c r="C2" s="8"/>
    </row>
    <row r="3" spans="1:9" s="19" customFormat="1" x14ac:dyDescent="0.25">
      <c r="A3" s="75" t="s">
        <v>92</v>
      </c>
      <c r="B3" s="75"/>
      <c r="C3" s="75"/>
      <c r="D3" s="75"/>
      <c r="E3" s="75"/>
      <c r="F3" s="75"/>
      <c r="G3" s="75"/>
      <c r="H3" s="60"/>
    </row>
    <row r="4" spans="1:9" s="19" customFormat="1" x14ac:dyDescent="0.25"/>
    <row r="5" spans="1:9" s="19" customFormat="1" x14ac:dyDescent="0.25">
      <c r="A5" s="31" t="s">
        <v>113</v>
      </c>
      <c r="B5" s="31"/>
      <c r="C5" s="31"/>
      <c r="D5" s="31"/>
      <c r="E5" s="31"/>
      <c r="F5" s="31"/>
    </row>
    <row r="6" spans="1:9" s="19" customFormat="1" ht="31.5" x14ac:dyDescent="0.25">
      <c r="A6" s="20" t="s">
        <v>13</v>
      </c>
      <c r="B6" s="29" t="s">
        <v>93</v>
      </c>
    </row>
    <row r="7" spans="1:9" s="19" customFormat="1" x14ac:dyDescent="0.25">
      <c r="A7" s="17" t="s">
        <v>32</v>
      </c>
      <c r="B7" s="15">
        <v>554500</v>
      </c>
    </row>
    <row r="8" spans="1:9" s="19" customFormat="1" x14ac:dyDescent="0.25">
      <c r="A8" s="17" t="s">
        <v>33</v>
      </c>
      <c r="B8" s="15">
        <v>571680</v>
      </c>
    </row>
    <row r="9" spans="1:9" s="19" customFormat="1" x14ac:dyDescent="0.25">
      <c r="A9" s="17" t="s">
        <v>34</v>
      </c>
      <c r="B9" s="15">
        <v>584840</v>
      </c>
    </row>
    <row r="10" spans="1:9" s="19" customFormat="1" x14ac:dyDescent="0.25">
      <c r="A10" s="17" t="s">
        <v>35</v>
      </c>
      <c r="B10" s="15">
        <v>592460</v>
      </c>
    </row>
    <row r="11" spans="1:9" s="19" customFormat="1" x14ac:dyDescent="0.25">
      <c r="A11" s="18"/>
    </row>
    <row r="12" spans="1:9" x14ac:dyDescent="0.25">
      <c r="A12" s="83" t="s">
        <v>41</v>
      </c>
      <c r="B12" s="83"/>
      <c r="C12" s="83"/>
      <c r="D12" s="10"/>
      <c r="E12" s="10"/>
      <c r="F12" s="10"/>
      <c r="G12" s="10"/>
      <c r="H12" s="10"/>
      <c r="I12" s="10"/>
    </row>
    <row r="13" spans="1:9" ht="31.5" x14ac:dyDescent="0.25">
      <c r="A13" s="25" t="s">
        <v>27</v>
      </c>
      <c r="B13" s="25" t="s">
        <v>28</v>
      </c>
      <c r="C13" s="24" t="s">
        <v>29</v>
      </c>
      <c r="F13" s="10"/>
      <c r="G13" s="10"/>
      <c r="H13" s="10"/>
      <c r="I13" s="10"/>
    </row>
    <row r="14" spans="1:9" x14ac:dyDescent="0.25">
      <c r="A14" s="13"/>
      <c r="B14" s="58" t="s">
        <v>37</v>
      </c>
      <c r="C14" s="59" t="s">
        <v>38</v>
      </c>
      <c r="D14" s="29" t="s">
        <v>14</v>
      </c>
      <c r="E14" s="29" t="s">
        <v>15</v>
      </c>
      <c r="F14" s="10"/>
      <c r="G14" s="10"/>
      <c r="H14" s="10"/>
      <c r="I14" s="10"/>
    </row>
    <row r="15" spans="1:9" ht="15.75" customHeight="1" x14ac:dyDescent="0.25">
      <c r="A15" s="17" t="s">
        <v>32</v>
      </c>
      <c r="B15" s="14"/>
      <c r="C15" s="17"/>
      <c r="D15" s="14"/>
      <c r="E15" s="14"/>
    </row>
    <row r="16" spans="1:9" x14ac:dyDescent="0.25">
      <c r="A16" s="17" t="s">
        <v>33</v>
      </c>
      <c r="B16" s="14"/>
      <c r="C16" s="17"/>
      <c r="D16" s="14"/>
      <c r="E16" s="14"/>
    </row>
    <row r="17" spans="1:6" x14ac:dyDescent="0.25">
      <c r="A17" s="17" t="s">
        <v>34</v>
      </c>
      <c r="B17" s="14"/>
      <c r="C17" s="17"/>
      <c r="D17" s="14"/>
      <c r="E17" s="14"/>
    </row>
    <row r="18" spans="1:6" x14ac:dyDescent="0.25">
      <c r="A18" s="17" t="s">
        <v>35</v>
      </c>
      <c r="B18" s="14"/>
      <c r="C18" s="17"/>
      <c r="D18" s="14"/>
      <c r="E18" s="14"/>
    </row>
    <row r="19" spans="1:6" x14ac:dyDescent="0.25">
      <c r="A19" s="6" t="s">
        <v>5</v>
      </c>
      <c r="B19" s="6"/>
      <c r="C19" s="6"/>
      <c r="D19" s="6"/>
      <c r="E19" s="6"/>
    </row>
    <row r="21" spans="1:6" ht="27" customHeight="1" x14ac:dyDescent="0.25">
      <c r="B21" s="84"/>
      <c r="C21" s="54" t="s">
        <v>88</v>
      </c>
      <c r="D21" s="85"/>
      <c r="F21" s="10"/>
    </row>
    <row r="22" spans="1:6" ht="12" customHeight="1" x14ac:dyDescent="0.25">
      <c r="B22" s="82"/>
      <c r="C22" s="36"/>
      <c r="D22" s="11"/>
      <c r="F22" s="10"/>
    </row>
    <row r="23" spans="1:6" ht="27" customHeight="1" x14ac:dyDescent="0.25">
      <c r="B23" s="86"/>
      <c r="C23" s="54" t="s">
        <v>88</v>
      </c>
      <c r="D23" s="85"/>
      <c r="F23" s="10"/>
    </row>
    <row r="24" spans="1:6" ht="12" customHeight="1" x14ac:dyDescent="0.25">
      <c r="B24" s="51"/>
      <c r="C24" s="55"/>
      <c r="D24" s="52"/>
      <c r="F24" s="10"/>
    </row>
    <row r="25" spans="1:6" ht="47.25" customHeight="1" x14ac:dyDescent="0.25">
      <c r="B25" s="51"/>
      <c r="C25" s="54" t="s">
        <v>17</v>
      </c>
      <c r="D25" s="85"/>
      <c r="F25" s="10"/>
    </row>
    <row r="26" spans="1:6" ht="12" customHeight="1" x14ac:dyDescent="0.25">
      <c r="B26" s="51"/>
      <c r="C26" s="55"/>
      <c r="D26" s="52"/>
      <c r="F26" s="10"/>
    </row>
    <row r="27" spans="1:6" ht="26.25" customHeight="1" x14ac:dyDescent="0.25">
      <c r="B27" s="12"/>
      <c r="C27" s="53" t="s">
        <v>30</v>
      </c>
      <c r="D27" s="85"/>
      <c r="F27" s="10"/>
    </row>
    <row r="28" spans="1:6" x14ac:dyDescent="0.25">
      <c r="B28" s="16"/>
    </row>
    <row r="29" spans="1:6" ht="27.75" customHeight="1" x14ac:dyDescent="0.25">
      <c r="A29" s="12"/>
      <c r="B29" s="87" t="s">
        <v>89</v>
      </c>
      <c r="C29" s="85"/>
      <c r="D29" s="57"/>
    </row>
    <row r="30" spans="1:6" x14ac:dyDescent="0.25">
      <c r="A30" s="12"/>
      <c r="C30" s="88"/>
    </row>
    <row r="31" spans="1:6" x14ac:dyDescent="0.25">
      <c r="C31" s="88"/>
    </row>
    <row r="32" spans="1:6" ht="63" x14ac:dyDescent="0.25">
      <c r="B32" s="56" t="s">
        <v>90</v>
      </c>
      <c r="C32" s="85"/>
      <c r="D32" s="5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19" workbookViewId="0">
      <selection activeCell="E6" sqref="E6"/>
    </sheetView>
  </sheetViews>
  <sheetFormatPr baseColWidth="10" defaultRowHeight="15.75" x14ac:dyDescent="0.25"/>
  <cols>
    <col min="1" max="1" width="13.140625" style="9" customWidth="1"/>
    <col min="2" max="14" width="11" style="9" customWidth="1"/>
    <col min="15" max="16384" width="11.42578125" style="9"/>
  </cols>
  <sheetData>
    <row r="1" spans="1:14" x14ac:dyDescent="0.25">
      <c r="A1" s="22" t="s">
        <v>40</v>
      </c>
      <c r="B1" s="22"/>
      <c r="C1" s="22"/>
      <c r="D1" s="23"/>
    </row>
    <row r="2" spans="1:14" x14ac:dyDescent="0.25">
      <c r="A2" s="21" t="s">
        <v>43</v>
      </c>
      <c r="B2" s="8"/>
      <c r="C2" s="8"/>
    </row>
    <row r="3" spans="1:14" x14ac:dyDescent="0.25">
      <c r="A3" s="42" t="s">
        <v>46</v>
      </c>
      <c r="B3" s="42"/>
      <c r="C3" s="42"/>
      <c r="D3" s="42"/>
      <c r="E3" s="42"/>
      <c r="F3" s="42"/>
      <c r="G3" s="60"/>
    </row>
    <row r="5" spans="1:14" x14ac:dyDescent="0.25">
      <c r="A5" s="31" t="s">
        <v>39</v>
      </c>
      <c r="B5" s="10"/>
      <c r="C5" s="10"/>
      <c r="D5" s="10"/>
      <c r="E5" s="10"/>
    </row>
    <row r="6" spans="1:14" ht="31.5" customHeight="1" x14ac:dyDescent="0.25">
      <c r="A6" s="91" t="s">
        <v>94</v>
      </c>
      <c r="B6" s="92"/>
      <c r="C6" s="92"/>
      <c r="D6" s="93"/>
      <c r="E6" s="79"/>
    </row>
    <row r="7" spans="1:14" x14ac:dyDescent="0.25">
      <c r="A7" s="90"/>
      <c r="B7" s="47"/>
      <c r="C7" s="47"/>
      <c r="D7" s="47"/>
      <c r="E7" s="47"/>
    </row>
    <row r="8" spans="1:14" x14ac:dyDescent="0.25">
      <c r="A8" s="31" t="s">
        <v>95</v>
      </c>
      <c r="B8" s="31"/>
      <c r="C8" s="31"/>
      <c r="D8" s="31"/>
      <c r="E8" s="31"/>
      <c r="F8" s="31"/>
      <c r="G8" s="89"/>
    </row>
    <row r="9" spans="1:14" x14ac:dyDescent="0.25">
      <c r="A9" s="61"/>
      <c r="B9" s="6" t="s">
        <v>18</v>
      </c>
      <c r="C9" s="6" t="s">
        <v>19</v>
      </c>
      <c r="D9" s="6" t="s">
        <v>0</v>
      </c>
      <c r="E9" s="6" t="s">
        <v>1</v>
      </c>
      <c r="F9" s="6" t="s">
        <v>2</v>
      </c>
      <c r="G9" s="6" t="s">
        <v>3</v>
      </c>
      <c r="H9" s="6" t="s">
        <v>20</v>
      </c>
      <c r="I9" s="6" t="s">
        <v>4</v>
      </c>
      <c r="J9" s="6" t="s">
        <v>21</v>
      </c>
      <c r="K9" s="6" t="s">
        <v>22</v>
      </c>
      <c r="L9" s="6" t="s">
        <v>23</v>
      </c>
      <c r="M9" s="6" t="s">
        <v>24</v>
      </c>
      <c r="N9" s="35" t="s">
        <v>5</v>
      </c>
    </row>
    <row r="10" spans="1:14" ht="31.5" customHeight="1" x14ac:dyDescent="0.25">
      <c r="A10" s="28" t="s">
        <v>6</v>
      </c>
      <c r="B10" s="63">
        <v>4.87E-2</v>
      </c>
      <c r="C10" s="64">
        <v>7.7600000000000002E-2</v>
      </c>
      <c r="D10" s="64">
        <v>0.11409999999999999</v>
      </c>
      <c r="E10" s="64">
        <v>7.6799999999999993E-2</v>
      </c>
      <c r="F10" s="64">
        <v>8.2500000000000004E-2</v>
      </c>
      <c r="G10" s="64">
        <v>9.11E-2</v>
      </c>
      <c r="H10" s="64">
        <v>9.0200000000000002E-2</v>
      </c>
      <c r="I10" s="64">
        <v>6.1199999999999997E-2</v>
      </c>
      <c r="J10" s="64">
        <v>0.14119999999999999</v>
      </c>
      <c r="K10" s="64">
        <v>6.8599999999999994E-2</v>
      </c>
      <c r="L10" s="64">
        <v>6.8699999999999997E-2</v>
      </c>
      <c r="M10" s="64">
        <v>7.9299999999999995E-2</v>
      </c>
      <c r="N10" s="65">
        <f>SUM(B10:M10)</f>
        <v>1</v>
      </c>
    </row>
    <row r="12" spans="1:14" x14ac:dyDescent="0.25">
      <c r="A12" s="42" t="s">
        <v>48</v>
      </c>
      <c r="B12" s="60"/>
      <c r="C12" s="60"/>
      <c r="D12" s="60"/>
      <c r="E12" s="60"/>
    </row>
    <row r="13" spans="1:14" x14ac:dyDescent="0.25">
      <c r="A13" s="61"/>
      <c r="B13" s="3" t="s">
        <v>18</v>
      </c>
      <c r="C13" s="3" t="s">
        <v>19</v>
      </c>
      <c r="D13" s="3" t="s">
        <v>0</v>
      </c>
      <c r="E13" s="3" t="s">
        <v>1</v>
      </c>
      <c r="F13" s="3" t="s">
        <v>2</v>
      </c>
      <c r="G13" s="3" t="s">
        <v>3</v>
      </c>
      <c r="H13" s="3" t="s">
        <v>20</v>
      </c>
      <c r="I13" s="3" t="s">
        <v>4</v>
      </c>
      <c r="J13" s="3" t="s">
        <v>21</v>
      </c>
      <c r="K13" s="3" t="s">
        <v>22</v>
      </c>
      <c r="L13" s="3" t="s">
        <v>23</v>
      </c>
      <c r="M13" s="3" t="s">
        <v>24</v>
      </c>
      <c r="N13" s="62" t="s">
        <v>5</v>
      </c>
    </row>
    <row r="14" spans="1:14" ht="47.25" x14ac:dyDescent="0.25">
      <c r="A14" s="43" t="s">
        <v>47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62"/>
    </row>
    <row r="16" spans="1:14" x14ac:dyDescent="0.25">
      <c r="A16" s="73" t="s">
        <v>42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7"/>
      <c r="M16" s="60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31" t="s">
        <v>96</v>
      </c>
      <c r="B18" s="74"/>
      <c r="C18" s="74"/>
      <c r="D18" s="74"/>
      <c r="E18" s="74"/>
      <c r="F18" s="74"/>
      <c r="G18" s="7"/>
      <c r="H18" s="7"/>
      <c r="I18" s="7"/>
      <c r="J18" s="7"/>
      <c r="K18" s="7"/>
      <c r="L18" s="7"/>
    </row>
    <row r="19" spans="1:12" x14ac:dyDescent="0.25">
      <c r="A19" s="37"/>
      <c r="B19" s="79" t="s">
        <v>18</v>
      </c>
      <c r="C19" s="79" t="s">
        <v>19</v>
      </c>
      <c r="D19" s="79" t="s">
        <v>0</v>
      </c>
      <c r="E19" s="79" t="s">
        <v>1</v>
      </c>
      <c r="F19" s="80" t="s">
        <v>5</v>
      </c>
      <c r="G19" s="7"/>
      <c r="H19" s="7"/>
      <c r="I19" s="7"/>
      <c r="J19" s="7"/>
      <c r="K19" s="7"/>
      <c r="L19" s="7"/>
    </row>
    <row r="20" spans="1:12" x14ac:dyDescent="0.25">
      <c r="A20" s="76" t="s">
        <v>44</v>
      </c>
      <c r="B20" s="71">
        <v>27450</v>
      </c>
      <c r="C20" s="71">
        <v>45750</v>
      </c>
      <c r="D20" s="71">
        <v>65700</v>
      </c>
      <c r="E20" s="71">
        <v>44360</v>
      </c>
      <c r="F20" s="72">
        <v>183260</v>
      </c>
      <c r="G20" s="7"/>
      <c r="H20" s="7"/>
      <c r="I20" s="7"/>
      <c r="J20" s="7"/>
      <c r="K20" s="7"/>
      <c r="L20" s="7"/>
    </row>
    <row r="21" spans="1:12" x14ac:dyDescent="0.25">
      <c r="G21" s="7"/>
      <c r="H21" s="7"/>
      <c r="I21" s="7"/>
      <c r="J21" s="7"/>
      <c r="K21" s="7"/>
      <c r="L21" s="7"/>
    </row>
    <row r="22" spans="1:12" x14ac:dyDescent="0.25">
      <c r="A22" s="10"/>
      <c r="B22" s="10"/>
      <c r="C22" s="10"/>
      <c r="D22" s="10"/>
      <c r="E22" s="10"/>
      <c r="F22" s="10"/>
      <c r="G22" s="7"/>
      <c r="H22" s="7"/>
      <c r="I22" s="7"/>
      <c r="J22" s="7"/>
      <c r="K22" s="7"/>
      <c r="L22" s="7"/>
    </row>
    <row r="23" spans="1:12" x14ac:dyDescent="0.25">
      <c r="A23" s="73" t="s">
        <v>49</v>
      </c>
      <c r="B23" s="73"/>
      <c r="C23" s="73"/>
      <c r="D23" s="73"/>
      <c r="E23" s="94"/>
      <c r="F23" s="10"/>
      <c r="G23" s="7"/>
      <c r="H23" s="7"/>
      <c r="I23" s="7"/>
      <c r="J23" s="7"/>
      <c r="K23" s="7"/>
      <c r="L23" s="7"/>
    </row>
    <row r="24" spans="1:12" x14ac:dyDescent="0.25">
      <c r="A24" s="37"/>
      <c r="B24" s="68" t="s">
        <v>18</v>
      </c>
      <c r="C24" s="68" t="s">
        <v>19</v>
      </c>
      <c r="D24" s="68" t="s">
        <v>0</v>
      </c>
      <c r="E24" s="68" t="s">
        <v>1</v>
      </c>
      <c r="F24" s="69" t="s">
        <v>5</v>
      </c>
      <c r="G24" s="7"/>
      <c r="H24" s="7"/>
      <c r="I24" s="7"/>
      <c r="J24" s="7"/>
      <c r="K24" s="7"/>
      <c r="L24" s="7"/>
    </row>
    <row r="25" spans="1:12" ht="47.25" x14ac:dyDescent="0.25">
      <c r="A25" s="70" t="s">
        <v>47</v>
      </c>
      <c r="B25" s="95"/>
      <c r="C25" s="95"/>
      <c r="D25" s="95"/>
      <c r="E25" s="95"/>
      <c r="F25" s="14"/>
      <c r="G25" s="7"/>
      <c r="H25" s="7"/>
      <c r="I25" s="7"/>
      <c r="J25" s="7"/>
      <c r="K25" s="7"/>
      <c r="L25" s="7"/>
    </row>
    <row r="26" spans="1:12" ht="31.5" x14ac:dyDescent="0.25">
      <c r="A26" s="70" t="s">
        <v>45</v>
      </c>
      <c r="B26" s="77"/>
      <c r="C26" s="77"/>
      <c r="D26" s="77"/>
      <c r="E26" s="77"/>
      <c r="F26" s="58"/>
      <c r="G26" s="7"/>
      <c r="H26" s="7"/>
      <c r="I26" s="7"/>
      <c r="J26" s="7"/>
      <c r="K26" s="7"/>
      <c r="L26" s="7"/>
    </row>
    <row r="27" spans="1:12" ht="47.25" x14ac:dyDescent="0.25">
      <c r="A27" s="70" t="s">
        <v>91</v>
      </c>
      <c r="B27" s="78"/>
      <c r="C27" s="78"/>
      <c r="D27" s="78"/>
      <c r="E27" s="78"/>
      <c r="F27" s="78"/>
      <c r="G27" s="7"/>
      <c r="H27" s="7"/>
      <c r="I27" s="7"/>
      <c r="J27" s="7"/>
      <c r="K27" s="7"/>
      <c r="L27" s="7"/>
    </row>
  </sheetData>
  <mergeCells count="1"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D12" sqref="D12"/>
    </sheetView>
  </sheetViews>
  <sheetFormatPr baseColWidth="10" defaultRowHeight="15" x14ac:dyDescent="0.25"/>
  <cols>
    <col min="1" max="1" width="46" style="1" customWidth="1"/>
    <col min="2" max="2" width="18" style="1" customWidth="1"/>
    <col min="3" max="3" width="18.7109375" style="1" customWidth="1"/>
    <col min="4" max="4" width="21" style="1" customWidth="1"/>
    <col min="5" max="5" width="13.140625" style="1" customWidth="1"/>
    <col min="6" max="6" width="22.7109375" style="1" customWidth="1"/>
    <col min="7" max="7" width="20.7109375" style="1" customWidth="1"/>
    <col min="8" max="13" width="11" style="1" customWidth="1"/>
    <col min="14" max="16384" width="11.42578125" style="1"/>
  </cols>
  <sheetData>
    <row r="1" spans="1:11" ht="15.75" x14ac:dyDescent="0.25">
      <c r="A1" s="81" t="s">
        <v>40</v>
      </c>
    </row>
    <row r="2" spans="1:11" ht="15.75" x14ac:dyDescent="0.25">
      <c r="A2" s="21" t="s">
        <v>51</v>
      </c>
      <c r="B2" s="19"/>
      <c r="C2" s="19"/>
    </row>
    <row r="3" spans="1:11" ht="15.75" x14ac:dyDescent="0.25">
      <c r="A3" s="42" t="s">
        <v>50</v>
      </c>
      <c r="B3" s="26"/>
      <c r="C3" s="26"/>
      <c r="D3" s="26"/>
      <c r="E3" s="32"/>
      <c r="F3" s="33"/>
      <c r="G3" s="33"/>
      <c r="H3" s="33"/>
      <c r="I3" s="33"/>
      <c r="J3" s="33"/>
      <c r="K3" s="33"/>
    </row>
    <row r="5" spans="1:11" ht="15.75" x14ac:dyDescent="0.25">
      <c r="A5" s="31" t="s">
        <v>97</v>
      </c>
      <c r="B5" s="31"/>
      <c r="C5" s="31"/>
      <c r="D5" s="31"/>
      <c r="E5" s="31"/>
    </row>
    <row r="6" spans="1:11" s="2" customFormat="1" ht="15.75" x14ac:dyDescent="0.25">
      <c r="A6" s="4" t="s">
        <v>78</v>
      </c>
      <c r="B6" s="6">
        <v>4</v>
      </c>
    </row>
    <row r="7" spans="1:11" s="2" customFormat="1" ht="15.75" x14ac:dyDescent="0.25">
      <c r="A7" s="97" t="s">
        <v>99</v>
      </c>
      <c r="B7" s="108"/>
    </row>
    <row r="8" spans="1:11" ht="15.75" x14ac:dyDescent="0.25">
      <c r="A8" s="36" t="s">
        <v>82</v>
      </c>
      <c r="B8" s="5"/>
    </row>
    <row r="9" spans="1:11" ht="15.75" x14ac:dyDescent="0.25">
      <c r="A9" s="109" t="s">
        <v>81</v>
      </c>
      <c r="B9" s="110">
        <v>15.5</v>
      </c>
    </row>
    <row r="10" spans="1:11" ht="15.75" x14ac:dyDescent="0.25">
      <c r="A10" s="109" t="s">
        <v>58</v>
      </c>
      <c r="B10" s="6">
        <v>3</v>
      </c>
    </row>
    <row r="11" spans="1:11" ht="15.75" customHeight="1" x14ac:dyDescent="0.25">
      <c r="A11" s="109" t="s">
        <v>59</v>
      </c>
      <c r="B11" s="6">
        <v>2</v>
      </c>
    </row>
    <row r="12" spans="1:11" ht="16.5" customHeight="1" x14ac:dyDescent="0.25">
      <c r="A12" s="111" t="s">
        <v>60</v>
      </c>
      <c r="B12" s="6">
        <v>7</v>
      </c>
    </row>
    <row r="13" spans="1:11" ht="15.75" x14ac:dyDescent="0.25">
      <c r="A13" s="111" t="s">
        <v>74</v>
      </c>
      <c r="B13" s="46">
        <v>400</v>
      </c>
    </row>
    <row r="14" spans="1:11" ht="15.75" x14ac:dyDescent="0.25">
      <c r="A14" s="112"/>
      <c r="B14" s="9"/>
    </row>
    <row r="15" spans="1:11" ht="15.75" x14ac:dyDescent="0.25">
      <c r="A15" s="36" t="s">
        <v>98</v>
      </c>
      <c r="B15" s="9"/>
    </row>
    <row r="16" spans="1:11" ht="15.75" x14ac:dyDescent="0.25">
      <c r="A16" s="111" t="s">
        <v>73</v>
      </c>
      <c r="B16" s="6">
        <v>47000</v>
      </c>
    </row>
    <row r="17" spans="1:5" ht="31.5" x14ac:dyDescent="0.25">
      <c r="A17" s="111" t="s">
        <v>80</v>
      </c>
      <c r="B17" s="46">
        <v>30</v>
      </c>
    </row>
    <row r="18" spans="1:5" ht="15.75" x14ac:dyDescent="0.25">
      <c r="A18" s="111" t="s">
        <v>75</v>
      </c>
      <c r="B18" s="46">
        <v>25</v>
      </c>
    </row>
    <row r="19" spans="1:5" ht="15" customHeight="1" x14ac:dyDescent="0.25">
      <c r="A19" s="111" t="s">
        <v>76</v>
      </c>
      <c r="B19" s="46">
        <v>450</v>
      </c>
    </row>
    <row r="20" spans="1:5" ht="15.75" x14ac:dyDescent="0.25">
      <c r="A20" s="111" t="s">
        <v>77</v>
      </c>
      <c r="B20" s="113">
        <v>300</v>
      </c>
    </row>
    <row r="21" spans="1:5" ht="15.75" x14ac:dyDescent="0.25">
      <c r="A21" s="114"/>
      <c r="B21" s="115"/>
    </row>
    <row r="22" spans="1:5" ht="15.75" x14ac:dyDescent="0.25">
      <c r="A22" s="36" t="s">
        <v>100</v>
      </c>
      <c r="B22" s="9"/>
    </row>
    <row r="23" spans="1:5" ht="15" customHeight="1" x14ac:dyDescent="0.25">
      <c r="A23" s="9" t="s">
        <v>83</v>
      </c>
      <c r="B23" s="45">
        <v>0.68</v>
      </c>
    </row>
    <row r="25" spans="1:5" ht="15.75" x14ac:dyDescent="0.25">
      <c r="A25" s="31" t="s">
        <v>101</v>
      </c>
      <c r="B25" s="98"/>
      <c r="C25" s="98"/>
      <c r="D25" s="98"/>
    </row>
    <row r="26" spans="1:5" ht="15.75" x14ac:dyDescent="0.25">
      <c r="A26" s="5" t="s">
        <v>72</v>
      </c>
      <c r="B26" s="2"/>
      <c r="C26" s="2"/>
      <c r="D26" s="2"/>
    </row>
    <row r="27" spans="1:5" ht="31.5" x14ac:dyDescent="0.25">
      <c r="A27" s="34" t="s">
        <v>16</v>
      </c>
      <c r="B27" s="34" t="s">
        <v>61</v>
      </c>
      <c r="C27" s="34" t="s">
        <v>62</v>
      </c>
      <c r="D27" s="34" t="s">
        <v>79</v>
      </c>
    </row>
    <row r="28" spans="1:5" ht="31.5" x14ac:dyDescent="0.25">
      <c r="A28" s="28" t="s">
        <v>63</v>
      </c>
      <c r="B28" s="35" t="s">
        <v>64</v>
      </c>
      <c r="C28" s="35" t="s">
        <v>65</v>
      </c>
      <c r="D28" s="35">
        <v>40</v>
      </c>
    </row>
    <row r="29" spans="1:5" ht="31.5" x14ac:dyDescent="0.25">
      <c r="A29" s="28" t="s">
        <v>66</v>
      </c>
      <c r="B29" s="35" t="s">
        <v>67</v>
      </c>
      <c r="C29" s="35" t="s">
        <v>68</v>
      </c>
      <c r="D29" s="35">
        <v>72</v>
      </c>
    </row>
    <row r="30" spans="1:5" ht="31.5" x14ac:dyDescent="0.25">
      <c r="A30" s="28" t="s">
        <v>69</v>
      </c>
      <c r="B30" s="35" t="s">
        <v>64</v>
      </c>
      <c r="C30" s="35" t="s">
        <v>70</v>
      </c>
      <c r="D30" s="35">
        <v>72</v>
      </c>
    </row>
    <row r="31" spans="1:5" ht="31.5" x14ac:dyDescent="0.25">
      <c r="A31" s="28" t="s">
        <v>71</v>
      </c>
      <c r="B31" s="35" t="s">
        <v>67</v>
      </c>
      <c r="C31" s="35" t="s">
        <v>70</v>
      </c>
      <c r="D31" s="35">
        <v>72</v>
      </c>
    </row>
    <row r="32" spans="1:5" ht="15.75" x14ac:dyDescent="0.25">
      <c r="E32" s="9"/>
    </row>
    <row r="33" spans="1:10" ht="15.75" x14ac:dyDescent="0.25">
      <c r="A33" s="42" t="s">
        <v>102</v>
      </c>
      <c r="B33" s="33"/>
      <c r="C33" s="33"/>
    </row>
    <row r="34" spans="1:10" ht="15.75" x14ac:dyDescent="0.25">
      <c r="A34" s="36" t="s">
        <v>54</v>
      </c>
      <c r="D34" s="36"/>
    </row>
    <row r="35" spans="1:10" ht="15.75" x14ac:dyDescent="0.25">
      <c r="A35" s="29" t="s">
        <v>55</v>
      </c>
      <c r="B35" s="29" t="s">
        <v>56</v>
      </c>
    </row>
    <row r="36" spans="1:10" ht="15.75" x14ac:dyDescent="0.25">
      <c r="A36" s="37" t="s">
        <v>7</v>
      </c>
      <c r="B36" s="38"/>
    </row>
    <row r="37" spans="1:10" ht="15.75" x14ac:dyDescent="0.25">
      <c r="A37" s="37" t="s">
        <v>8</v>
      </c>
      <c r="B37" s="38"/>
    </row>
    <row r="38" spans="1:10" ht="15.75" x14ac:dyDescent="0.25">
      <c r="A38" s="37" t="s">
        <v>9</v>
      </c>
      <c r="B38" s="41"/>
      <c r="C38" s="19"/>
      <c r="D38" s="9"/>
    </row>
    <row r="39" spans="1:10" ht="15.75" x14ac:dyDescent="0.25">
      <c r="A39" s="37" t="s">
        <v>57</v>
      </c>
      <c r="B39" s="39"/>
      <c r="C39"/>
    </row>
    <row r="40" spans="1:10" ht="15.75" x14ac:dyDescent="0.25">
      <c r="A40" s="37" t="s">
        <v>10</v>
      </c>
      <c r="B40" s="39"/>
    </row>
    <row r="41" spans="1:10" ht="15.75" x14ac:dyDescent="0.25">
      <c r="A41" s="37" t="s">
        <v>11</v>
      </c>
      <c r="B41" s="39"/>
    </row>
    <row r="42" spans="1:10" ht="15.75" x14ac:dyDescent="0.25">
      <c r="A42" s="37" t="s">
        <v>12</v>
      </c>
      <c r="B42" s="39"/>
      <c r="E42" s="32"/>
      <c r="F42" s="32"/>
      <c r="G42" s="32"/>
      <c r="H42" s="32"/>
      <c r="I42" s="32"/>
      <c r="J42" s="32"/>
    </row>
    <row r="43" spans="1:10" ht="15.75" x14ac:dyDescent="0.25">
      <c r="A43" s="30" t="s">
        <v>25</v>
      </c>
      <c r="B43" s="40"/>
    </row>
    <row r="45" spans="1:10" ht="47.25" x14ac:dyDescent="0.25">
      <c r="A45" s="99" t="s">
        <v>84</v>
      </c>
      <c r="B45" s="44"/>
    </row>
    <row r="47" spans="1:10" ht="15.75" x14ac:dyDescent="0.25">
      <c r="A47" s="42" t="s">
        <v>52</v>
      </c>
      <c r="B47" s="27"/>
      <c r="C47" s="27"/>
      <c r="D47" s="27"/>
      <c r="E47" s="27"/>
      <c r="F47" s="27"/>
      <c r="G47" s="27"/>
    </row>
    <row r="48" spans="1:10" ht="15.75" x14ac:dyDescent="0.25">
      <c r="A48" s="31" t="s">
        <v>103</v>
      </c>
      <c r="C48" s="32"/>
      <c r="D48" s="32"/>
    </row>
    <row r="49" spans="1:6" ht="41.25" customHeight="1" x14ac:dyDescent="0.25">
      <c r="A49" s="28" t="s">
        <v>85</v>
      </c>
      <c r="B49" s="45">
        <v>0.1</v>
      </c>
    </row>
    <row r="50" spans="1:6" ht="15.75" x14ac:dyDescent="0.25">
      <c r="A50" s="100"/>
      <c r="B50" s="101"/>
    </row>
    <row r="51" spans="1:6" ht="15.75" x14ac:dyDescent="0.25">
      <c r="A51" s="31" t="s">
        <v>110</v>
      </c>
      <c r="B51" s="104"/>
      <c r="C51" s="98"/>
    </row>
    <row r="52" spans="1:6" ht="31.5" x14ac:dyDescent="0.25">
      <c r="A52" s="25"/>
      <c r="B52" s="25" t="s">
        <v>104</v>
      </c>
      <c r="C52" s="25" t="s">
        <v>105</v>
      </c>
      <c r="D52" s="25" t="s">
        <v>106</v>
      </c>
    </row>
    <row r="53" spans="1:6" ht="15.75" x14ac:dyDescent="0.25">
      <c r="A53" s="28" t="s">
        <v>63</v>
      </c>
      <c r="B53" s="17">
        <v>5750</v>
      </c>
      <c r="C53" s="102">
        <v>7340</v>
      </c>
      <c r="D53" s="102">
        <v>2330</v>
      </c>
    </row>
    <row r="54" spans="1:6" s="96" customFormat="1" ht="15.75" x14ac:dyDescent="0.25">
      <c r="A54" s="28" t="s">
        <v>107</v>
      </c>
      <c r="B54" s="17">
        <v>10350</v>
      </c>
      <c r="C54" s="102">
        <v>10310</v>
      </c>
      <c r="D54" s="102">
        <v>3520</v>
      </c>
    </row>
    <row r="55" spans="1:6" s="96" customFormat="1" ht="15.75" x14ac:dyDescent="0.25">
      <c r="A55" s="28" t="s">
        <v>108</v>
      </c>
      <c r="B55" s="17">
        <v>10350</v>
      </c>
      <c r="C55" s="102">
        <v>9250</v>
      </c>
      <c r="D55" s="102">
        <v>3080</v>
      </c>
    </row>
    <row r="56" spans="1:6" s="96" customFormat="1" ht="15.75" x14ac:dyDescent="0.25">
      <c r="A56" s="28" t="s">
        <v>109</v>
      </c>
      <c r="B56" s="17">
        <v>10350</v>
      </c>
      <c r="C56" s="102">
        <v>11600</v>
      </c>
      <c r="D56" s="102">
        <v>3730</v>
      </c>
    </row>
    <row r="57" spans="1:6" ht="15.75" x14ac:dyDescent="0.25">
      <c r="A57" s="25" t="s">
        <v>36</v>
      </c>
      <c r="B57" s="17">
        <v>36800</v>
      </c>
      <c r="C57" s="103">
        <v>38500</v>
      </c>
      <c r="D57" s="103">
        <v>12660</v>
      </c>
    </row>
    <row r="58" spans="1:6" ht="15.75" x14ac:dyDescent="0.25">
      <c r="A58" s="47"/>
      <c r="B58" s="48"/>
    </row>
    <row r="59" spans="1:6" ht="31.5" x14ac:dyDescent="0.25">
      <c r="A59" s="99" t="s">
        <v>86</v>
      </c>
      <c r="B59" s="44"/>
    </row>
    <row r="61" spans="1:6" ht="15.75" x14ac:dyDescent="0.25">
      <c r="A61" s="42" t="s">
        <v>53</v>
      </c>
      <c r="B61" s="27"/>
      <c r="C61" s="27"/>
      <c r="D61" s="27"/>
      <c r="E61" s="27"/>
      <c r="F61" s="27"/>
    </row>
    <row r="62" spans="1:6" s="33" customFormat="1" x14ac:dyDescent="0.25">
      <c r="A62" s="32"/>
    </row>
    <row r="63" spans="1:6" ht="63" x14ac:dyDescent="0.25">
      <c r="A63" s="25" t="s">
        <v>26</v>
      </c>
      <c r="B63" s="49" t="s">
        <v>112</v>
      </c>
      <c r="C63" s="49" t="s">
        <v>111</v>
      </c>
      <c r="D63" s="107" t="s">
        <v>87</v>
      </c>
    </row>
    <row r="64" spans="1:6" ht="15.75" x14ac:dyDescent="0.25">
      <c r="A64" s="28" t="s">
        <v>63</v>
      </c>
      <c r="B64" s="25"/>
      <c r="C64" s="105"/>
      <c r="D64" s="106"/>
    </row>
    <row r="65" spans="1:4" ht="15.75" x14ac:dyDescent="0.25">
      <c r="A65" s="28" t="s">
        <v>66</v>
      </c>
      <c r="B65" s="25"/>
      <c r="C65" s="105"/>
      <c r="D65" s="106"/>
    </row>
    <row r="66" spans="1:4" ht="15.75" x14ac:dyDescent="0.25">
      <c r="A66" s="28" t="s">
        <v>69</v>
      </c>
      <c r="B66" s="25"/>
      <c r="C66" s="105"/>
      <c r="D66" s="106"/>
    </row>
    <row r="67" spans="1:4" ht="15.75" x14ac:dyDescent="0.25">
      <c r="A67" s="28" t="s">
        <v>71</v>
      </c>
      <c r="B67" s="25"/>
      <c r="C67" s="105"/>
      <c r="D67" s="106"/>
    </row>
    <row r="68" spans="1:4" ht="15.75" x14ac:dyDescent="0.25">
      <c r="A68" s="50" t="s">
        <v>36</v>
      </c>
      <c r="B68" s="17"/>
      <c r="C68" s="4"/>
      <c r="D68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Q1- Mission 1 CH18</vt:lpstr>
      <vt:lpstr>Q5 et 6-Mission 2 CH18</vt:lpstr>
      <vt:lpstr>Q8, 9 et 10-Mission 3 CH18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2021-11-08T10:59:58Z</dcterms:modified>
</cp:coreProperties>
</file>