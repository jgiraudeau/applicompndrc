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-105" yWindow="-105" windowWidth="23250" windowHeight="12570" firstSheet="6" activeTab="7"/>
  </bookViews>
  <sheets>
    <sheet name="Exercice 1 - Question 2" sheetId="9" r:id="rId1"/>
    <sheet name="Exercice 2 - Questions 1 et 2" sheetId="3" r:id="rId2"/>
    <sheet name="Exercice 3 - Question 1" sheetId="4" r:id="rId3"/>
    <sheet name=" Exercice 4 - Question 1 et 2" sheetId="5" r:id="rId4"/>
    <sheet name="Exercice 9 - Questions 1 et 2" sheetId="6" r:id="rId5"/>
    <sheet name="Exercice 9 - Question 3" sheetId="7" r:id="rId6"/>
    <sheet name="Exercice 10 - Question 2" sheetId="8" r:id="rId7"/>
    <sheet name="Exercice 10 - Questions 7 et 8" sheetId="10" r:id="rId8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/>
  <c r="B16"/>
  <c r="B12"/>
  <c r="B11"/>
  <c r="B13" s="1"/>
  <c r="B9"/>
  <c r="A9"/>
  <c r="D8"/>
  <c r="C8"/>
  <c r="D7"/>
  <c r="C7"/>
  <c r="D6"/>
  <c r="C6"/>
  <c r="D5"/>
  <c r="C5"/>
  <c r="F26" i="10"/>
  <c r="C24"/>
  <c r="D24"/>
  <c r="E24"/>
  <c r="B24"/>
  <c r="B8" i="8"/>
  <c r="B12"/>
  <c r="A8"/>
  <c r="B11" s="1"/>
  <c r="B13" s="1"/>
  <c r="C7"/>
  <c r="D7"/>
  <c r="C6"/>
  <c r="D6"/>
  <c r="D5"/>
  <c r="C5"/>
  <c r="D4"/>
  <c r="C4"/>
  <c r="D3"/>
  <c r="C3"/>
  <c r="D2"/>
  <c r="D8" s="1"/>
  <c r="C2"/>
  <c r="B6" i="6"/>
  <c r="B10"/>
  <c r="A6"/>
  <c r="B9" s="1"/>
  <c r="B11" s="1"/>
  <c r="D5"/>
  <c r="C5"/>
  <c r="D4"/>
  <c r="C4"/>
  <c r="D3"/>
  <c r="C3"/>
  <c r="D2"/>
  <c r="C2"/>
  <c r="B12" i="5"/>
  <c r="B14" s="1"/>
  <c r="B8"/>
  <c r="B13" s="1"/>
  <c r="A8"/>
  <c r="D7"/>
  <c r="C7"/>
  <c r="D6"/>
  <c r="C6"/>
  <c r="D5"/>
  <c r="C5"/>
  <c r="D4"/>
  <c r="C4"/>
  <c r="C8" s="1"/>
  <c r="B17" s="1"/>
  <c r="D3"/>
  <c r="C3"/>
  <c r="D2"/>
  <c r="C2"/>
  <c r="C3" i="4"/>
  <c r="C4"/>
  <c r="C5"/>
  <c r="C6"/>
  <c r="C7"/>
  <c r="C8"/>
  <c r="C9"/>
  <c r="C10"/>
  <c r="C2"/>
  <c r="D3"/>
  <c r="D4"/>
  <c r="D5"/>
  <c r="D6"/>
  <c r="D7"/>
  <c r="D8"/>
  <c r="D9"/>
  <c r="D10"/>
  <c r="D2"/>
  <c r="B16"/>
  <c r="A11"/>
  <c r="B15" s="1"/>
  <c r="B17" s="1"/>
  <c r="B11"/>
  <c r="D3" i="3"/>
  <c r="D2"/>
  <c r="C9" l="1"/>
  <c r="D9"/>
  <c r="D11" i="4"/>
  <c r="C6" i="6"/>
  <c r="B14" s="1"/>
  <c r="D6"/>
  <c r="B13" s="1"/>
  <c r="B16" s="1"/>
  <c r="D8" i="5"/>
  <c r="B16" s="1"/>
  <c r="B19" s="1"/>
  <c r="B20" s="1"/>
  <c r="B23" s="1"/>
  <c r="C8" i="8"/>
  <c r="B16" s="1"/>
  <c r="C11" i="4"/>
  <c r="C20" s="1"/>
  <c r="C19"/>
  <c r="B19"/>
  <c r="B15" i="8"/>
  <c r="F24" i="10"/>
  <c r="E25" s="1"/>
  <c r="B18" i="3" l="1"/>
  <c r="B19" s="1"/>
  <c r="B22" s="1"/>
  <c r="B20" i="4"/>
  <c r="B22" s="1"/>
  <c r="C22"/>
  <c r="C23"/>
  <c r="C27" s="1"/>
  <c r="B20" i="6"/>
  <c r="C25" i="10"/>
  <c r="B17" i="6"/>
  <c r="D25" i="10"/>
  <c r="B18" i="8"/>
  <c r="B25" i="10"/>
  <c r="B23" i="4" l="1"/>
  <c r="B27"/>
  <c r="B28"/>
  <c r="B26"/>
  <c r="C26"/>
  <c r="C28"/>
  <c r="B19" i="8"/>
  <c r="B22" s="1"/>
</calcChain>
</file>

<file path=xl/sharedStrings.xml><?xml version="1.0" encoding="utf-8"?>
<sst xmlns="http://schemas.openxmlformats.org/spreadsheetml/2006/main" count="113" uniqueCount="42">
  <si>
    <t>N-1</t>
  </si>
  <si>
    <t>xi</t>
  </si>
  <si>
    <t>N</t>
  </si>
  <si>
    <t>Années</t>
  </si>
  <si>
    <t>N-10</t>
  </si>
  <si>
    <t>N-9</t>
  </si>
  <si>
    <t>N-8</t>
  </si>
  <si>
    <t>N-7</t>
  </si>
  <si>
    <t>N-6</t>
  </si>
  <si>
    <t>N-5</t>
  </si>
  <si>
    <t>N-4</t>
  </si>
  <si>
    <t>N-3</t>
  </si>
  <si>
    <t>N-2</t>
  </si>
  <si>
    <t>Ventes en volume</t>
  </si>
  <si>
    <t>yi</t>
  </si>
  <si>
    <t>xi yi</t>
  </si>
  <si>
    <r>
      <t>S</t>
    </r>
    <r>
      <rPr>
        <sz val="12"/>
        <color theme="1"/>
        <rFont val="Times New Roman"/>
        <family val="1"/>
      </rPr>
      <t xml:space="preserve"> x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² </t>
    </r>
  </si>
  <si>
    <r>
      <t>S</t>
    </r>
    <r>
      <rPr>
        <sz val="12"/>
        <color theme="1"/>
        <rFont val="Times New Roman"/>
        <family val="1"/>
      </rPr>
      <t xml:space="preserve"> x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 y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 </t>
    </r>
  </si>
  <si>
    <t>x̅ </t>
  </si>
  <si>
    <t>y̅ </t>
  </si>
  <si>
    <t>x̅ ² </t>
  </si>
  <si>
    <r>
      <t>S</t>
    </r>
    <r>
      <rPr>
        <sz val="12"/>
        <color theme="1"/>
        <rFont val="Times New Roman"/>
        <family val="1"/>
      </rPr>
      <t xml:space="preserve"> x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 y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 – n 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x̅  y̅    </t>
    </r>
  </si>
  <si>
    <r>
      <t>S</t>
    </r>
    <r>
      <rPr>
        <sz val="12"/>
        <color theme="1"/>
        <rFont val="Times New Roman"/>
        <family val="1"/>
      </rPr>
      <t xml:space="preserve"> x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 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– n x̅ 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                   </t>
    </r>
  </si>
  <si>
    <t>a</t>
  </si>
  <si>
    <t>b</t>
  </si>
  <si>
    <r>
      <t>xi</t>
    </r>
    <r>
      <rPr>
        <vertAlign val="superscript"/>
        <sz val="11"/>
        <color theme="1"/>
        <rFont val="Times New Roman"/>
        <family val="1"/>
      </rPr>
      <t>2</t>
    </r>
  </si>
  <si>
    <t xml:space="preserve">Prévision </t>
  </si>
  <si>
    <t>Nombre de stylos (milliers)</t>
  </si>
  <si>
    <t xml:space="preserve"> yi</t>
  </si>
  <si>
    <t>Trimestre 1</t>
  </si>
  <si>
    <t>Trimestre 2</t>
  </si>
  <si>
    <t>Trimestre 3</t>
  </si>
  <si>
    <t>Trimestre 4</t>
  </si>
  <si>
    <t>Total</t>
  </si>
  <si>
    <t>mois moyen</t>
  </si>
  <si>
    <t>Moyenne</t>
  </si>
  <si>
    <t>Coefficients</t>
  </si>
  <si>
    <t>Arrondis</t>
  </si>
  <si>
    <t>Sans arrondi</t>
  </si>
  <si>
    <t>Avec arrondi</t>
  </si>
  <si>
    <r>
      <t>∑  x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 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– n x̅ 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                   </t>
    </r>
  </si>
  <si>
    <r>
      <rPr>
        <sz val="12"/>
        <color theme="1"/>
        <rFont val="Calibri"/>
        <family val="2"/>
      </rPr>
      <t xml:space="preserve">∑ </t>
    </r>
    <r>
      <rPr>
        <sz val="12"/>
        <color theme="1"/>
        <rFont val="Times New Roman"/>
        <family val="1"/>
      </rPr>
      <t>x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 y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 xml:space="preserve"> – n 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 xml:space="preserve">x̅  y̅    </t>
    </r>
  </si>
</sst>
</file>

<file path=xl/styles.xml><?xml version="1.0" encoding="utf-8"?>
<styleSheet xmlns="http://schemas.openxmlformats.org/spreadsheetml/2006/main">
  <numFmts count="4">
    <numFmt numFmtId="43" formatCode="_-* #,##0.00\ _€_-;\-* #,##0.00\ _€_-;_-* &quot;-&quot;??\ _€_-;_-@_-"/>
    <numFmt numFmtId="164" formatCode="_-* #,##0\ _€_-;\-* #,##0\ _€_-;_-* &quot;-&quot;??\ _€_-;_-@_-"/>
    <numFmt numFmtId="165" formatCode="#,##0.0"/>
    <numFmt numFmtId="166" formatCode="_-* #,##0.0\ _€_-;\-* #,##0.0\ _€_-;_-* &quot;-&quot;??\ _€_-;_-@_-"/>
  </numFmts>
  <fonts count="1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vertAlign val="subscript"/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43" fontId="0" fillId="0" borderId="0" xfId="0" applyNumberFormat="1"/>
    <xf numFmtId="0" fontId="0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0" xfId="0" applyFont="1"/>
    <xf numFmtId="164" fontId="0" fillId="0" borderId="0" xfId="0" applyNumberFormat="1"/>
    <xf numFmtId="3" fontId="2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165" fontId="0" fillId="0" borderId="0" xfId="0" applyNumberFormat="1"/>
    <xf numFmtId="165" fontId="2" fillId="0" borderId="0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2" fontId="0" fillId="0" borderId="0" xfId="0" applyNumberFormat="1"/>
    <xf numFmtId="4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43" fontId="1" fillId="0" borderId="0" xfId="0" applyNumberFormat="1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plotArea>
      <c:layout/>
      <c:lineChart>
        <c:grouping val="standard"/>
        <c:ser>
          <c:idx val="0"/>
          <c:order val="0"/>
          <c:tx>
            <c:strRef>
              <c:f>'Exercice 1 - Question 2'!$A$2</c:f>
              <c:strCache>
                <c:ptCount val="1"/>
                <c:pt idx="0">
                  <c:v>Ventes en 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'Exercice 1 - Question 2'!$B$1:$K$1</c:f>
              <c:strCache>
                <c:ptCount val="10"/>
                <c:pt idx="0">
                  <c:v>N-10</c:v>
                </c:pt>
                <c:pt idx="1">
                  <c:v>N-9</c:v>
                </c:pt>
                <c:pt idx="2">
                  <c:v>N-8</c:v>
                </c:pt>
                <c:pt idx="3">
                  <c:v>N-7</c:v>
                </c:pt>
                <c:pt idx="4">
                  <c:v>N-6</c:v>
                </c:pt>
                <c:pt idx="5">
                  <c:v>N-5</c:v>
                </c:pt>
                <c:pt idx="6">
                  <c:v>N-4</c:v>
                </c:pt>
                <c:pt idx="7">
                  <c:v>N-3</c:v>
                </c:pt>
                <c:pt idx="8">
                  <c:v>N-2</c:v>
                </c:pt>
                <c:pt idx="9">
                  <c:v>N-1</c:v>
                </c:pt>
              </c:strCache>
            </c:strRef>
          </c:cat>
          <c:val>
            <c:numRef>
              <c:f>'Exercice 1 - Question 2'!$B$2:$K$2</c:f>
              <c:numCache>
                <c:formatCode>General</c:formatCode>
                <c:ptCount val="10"/>
                <c:pt idx="0">
                  <c:v>490</c:v>
                </c:pt>
                <c:pt idx="1">
                  <c:v>585</c:v>
                </c:pt>
                <c:pt idx="2">
                  <c:v>750</c:v>
                </c:pt>
                <c:pt idx="3">
                  <c:v>770</c:v>
                </c:pt>
                <c:pt idx="4">
                  <c:v>900</c:v>
                </c:pt>
                <c:pt idx="5">
                  <c:v>1000</c:v>
                </c:pt>
                <c:pt idx="6">
                  <c:v>1100</c:v>
                </c:pt>
                <c:pt idx="7">
                  <c:v>1130</c:v>
                </c:pt>
                <c:pt idx="8">
                  <c:v>1160</c:v>
                </c:pt>
                <c:pt idx="9">
                  <c:v>1190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A2-4220-9914-F4C8E5EBBA70}"/>
            </c:ext>
          </c:extLst>
        </c:ser>
        <c:dLbls/>
        <c:marker val="1"/>
        <c:axId val="141134848"/>
        <c:axId val="141136640"/>
      </c:lineChart>
      <c:catAx>
        <c:axId val="14113484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36640"/>
        <c:crosses val="autoZero"/>
        <c:auto val="1"/>
        <c:lblAlgn val="ctr"/>
        <c:lblOffset val="100"/>
      </c:catAx>
      <c:valAx>
        <c:axId val="14113664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3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plotArea>
      <c:layout/>
      <c:lineChart>
        <c:grouping val="standard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val>
            <c:numRef>
              <c:f>'Exercice 3 - Question 1'!$B$2:$B$10</c:f>
              <c:numCache>
                <c:formatCode>#,##0</c:formatCode>
                <c:ptCount val="9"/>
                <c:pt idx="0">
                  <c:v>5072</c:v>
                </c:pt>
                <c:pt idx="1">
                  <c:v>5333</c:v>
                </c:pt>
                <c:pt idx="2">
                  <c:v>5962</c:v>
                </c:pt>
                <c:pt idx="3">
                  <c:v>7246</c:v>
                </c:pt>
                <c:pt idx="4">
                  <c:v>8839</c:v>
                </c:pt>
                <c:pt idx="5">
                  <c:v>8875</c:v>
                </c:pt>
                <c:pt idx="6">
                  <c:v>10441</c:v>
                </c:pt>
                <c:pt idx="7">
                  <c:v>11106</c:v>
                </c:pt>
                <c:pt idx="8">
                  <c:v>14142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558-40BF-88CE-82F52DA2B716}"/>
            </c:ext>
          </c:extLst>
        </c:ser>
        <c:dLbls/>
        <c:marker val="1"/>
        <c:axId val="142948224"/>
        <c:axId val="142949760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'Exercice 3 - Question 1'!$A$2:$A$10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558-40BF-88CE-82F52DA2B716}"/>
                  </c:ext>
                </c:extLst>
              </c15:ser>
            </c15:filteredLineSeries>
          </c:ext>
        </c:extLst>
      </c:lineChart>
      <c:catAx>
        <c:axId val="142948224"/>
        <c:scaling>
          <c:orientation val="minMax"/>
        </c:scaling>
        <c:axPos val="b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949760"/>
        <c:crosses val="autoZero"/>
        <c:auto val="1"/>
        <c:lblAlgn val="ctr"/>
        <c:lblOffset val="100"/>
      </c:catAx>
      <c:valAx>
        <c:axId val="14294976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94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Budget et ventes</a:t>
            </a:r>
          </a:p>
        </c:rich>
      </c:tx>
      <c:layout/>
      <c:spPr>
        <a:noFill/>
        <a:ln>
          <a:noFill/>
        </a:ln>
        <a:effectLst/>
      </c:spPr>
    </c:title>
    <c:plotArea>
      <c:layout/>
      <c:scatterChart>
        <c:scatterStyle val="lineMarker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Exercice 4 - Question 1 et 2'!$A$2:$A$7</c:f>
              <c:numCache>
                <c:formatCode>General</c:formatCode>
                <c:ptCount val="6"/>
                <c:pt idx="0">
                  <c:v>15</c:v>
                </c:pt>
                <c:pt idx="1">
                  <c:v>18.5</c:v>
                </c:pt>
                <c:pt idx="2">
                  <c:v>19</c:v>
                </c:pt>
                <c:pt idx="3">
                  <c:v>16.5</c:v>
                </c:pt>
                <c:pt idx="4">
                  <c:v>16</c:v>
                </c:pt>
                <c:pt idx="5">
                  <c:v>18.2</c:v>
                </c:pt>
              </c:numCache>
            </c:numRef>
          </c:xVal>
          <c:yVal>
            <c:numRef>
              <c:f>' Exercice 4 - Question 1 et 2'!$B$2:$B$7</c:f>
              <c:numCache>
                <c:formatCode>General</c:formatCode>
                <c:ptCount val="6"/>
                <c:pt idx="0">
                  <c:v>75000</c:v>
                </c:pt>
                <c:pt idx="1">
                  <c:v>95400</c:v>
                </c:pt>
                <c:pt idx="2">
                  <c:v>100400</c:v>
                </c:pt>
                <c:pt idx="3">
                  <c:v>83500</c:v>
                </c:pt>
                <c:pt idx="4">
                  <c:v>80400</c:v>
                </c:pt>
                <c:pt idx="5">
                  <c:v>92400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2303-4818-B073-6C1424706FCA}"/>
            </c:ext>
          </c:extLst>
        </c:ser>
        <c:dLbls/>
        <c:axId val="142918016"/>
        <c:axId val="142919552"/>
      </c:scatterChart>
      <c:valAx>
        <c:axId val="142918016"/>
        <c:scaling>
          <c:orientation val="minMax"/>
          <c:min val="15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919552"/>
        <c:crosses val="autoZero"/>
        <c:crossBetween val="midCat"/>
      </c:valAx>
      <c:valAx>
        <c:axId val="142919552"/>
        <c:scaling>
          <c:orientation val="minMax"/>
          <c:min val="7000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91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plotArea>
      <c:layout/>
      <c:lineChart>
        <c:grouping val="standard"/>
        <c:ser>
          <c:idx val="1"/>
          <c:order val="0"/>
          <c:tx>
            <c:strRef>
              <c:f>'Exercice 9 - Questions 1 et 2'!$B$1</c:f>
              <c:strCache>
                <c:ptCount val="1"/>
                <c:pt idx="0">
                  <c:v>yi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val>
            <c:numRef>
              <c:f>'Exercice 9 - Questions 1 et 2'!$B$2:$B$5</c:f>
              <c:numCache>
                <c:formatCode>General</c:formatCode>
                <c:ptCount val="4"/>
                <c:pt idx="0">
                  <c:v>1800</c:v>
                </c:pt>
                <c:pt idx="1">
                  <c:v>2000</c:v>
                </c:pt>
                <c:pt idx="2">
                  <c:v>2320</c:v>
                </c:pt>
                <c:pt idx="3">
                  <c:v>2800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3C2-4746-A8B8-ACDDC4AEFB83}"/>
            </c:ext>
          </c:extLst>
        </c:ser>
        <c:dLbls/>
        <c:marker val="1"/>
        <c:axId val="143105024"/>
        <c:axId val="143110912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'Exercice 9 - Questions 1 et 2'!$A$1</c15:sqref>
                        </c15:formulaRef>
                      </c:ext>
                    </c:extLst>
                    <c:strCache>
                      <c:ptCount val="1"/>
                      <c:pt idx="0">
                        <c:v>xi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1"/>
                  <c:trendlineLbl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</c:trendlineLbl>
                </c:trendline>
                <c:val>
                  <c:numRef>
                    <c:extLst>
                      <c:ext uri="{02D57815-91ED-43cb-92C2-25804820EDAC}">
                        <c15:formulaRef>
                          <c15:sqref>'Exercice 9 - Questions 1 et 2'!$A$2:$A$5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3C2-4746-A8B8-ACDDC4AEFB83}"/>
                  </c:ext>
                </c:extLst>
              </c15:ser>
            </c15:filteredLineSeries>
          </c:ext>
        </c:extLst>
      </c:lineChart>
      <c:catAx>
        <c:axId val="143105024"/>
        <c:scaling>
          <c:orientation val="minMax"/>
        </c:scaling>
        <c:axPos val="b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110912"/>
        <c:crosses val="autoZero"/>
        <c:auto val="1"/>
        <c:lblAlgn val="ctr"/>
        <c:lblOffset val="100"/>
      </c:catAx>
      <c:valAx>
        <c:axId val="14311091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10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Ventes trimestrielles</a:t>
            </a:r>
          </a:p>
        </c:rich>
      </c:tx>
      <c:layout/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'Exercice 9 - Question 3'!$A$2</c:f>
              <c:strCache>
                <c:ptCount val="1"/>
                <c:pt idx="0">
                  <c:v>N-4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'Exercice 9 - Question 3'!$B$1:$E$1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'Exercice 9 - Question 3'!$B$2:$E$2</c:f>
              <c:numCache>
                <c:formatCode>General</c:formatCode>
                <c:ptCount val="4"/>
                <c:pt idx="0">
                  <c:v>500</c:v>
                </c:pt>
                <c:pt idx="1">
                  <c:v>200</c:v>
                </c:pt>
                <c:pt idx="2">
                  <c:v>400</c:v>
                </c:pt>
                <c:pt idx="3">
                  <c:v>700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974-4A52-96E7-93B1F0AEBDDC}"/>
            </c:ext>
          </c:extLst>
        </c:ser>
        <c:ser>
          <c:idx val="1"/>
          <c:order val="1"/>
          <c:tx>
            <c:strRef>
              <c:f>'Exercice 9 - Question 3'!$A$3</c:f>
              <c:strCache>
                <c:ptCount val="1"/>
                <c:pt idx="0">
                  <c:v>N-3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'Exercice 9 - Question 3'!$B$1:$E$1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'Exercice 9 - Question 3'!$B$3:$E$3</c:f>
              <c:numCache>
                <c:formatCode>General</c:formatCode>
                <c:ptCount val="4"/>
                <c:pt idx="0">
                  <c:v>600</c:v>
                </c:pt>
                <c:pt idx="1">
                  <c:v>250</c:v>
                </c:pt>
                <c:pt idx="2">
                  <c:v>450</c:v>
                </c:pt>
                <c:pt idx="3">
                  <c:v>700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974-4A52-96E7-93B1F0AEBDDC}"/>
            </c:ext>
          </c:extLst>
        </c:ser>
        <c:ser>
          <c:idx val="2"/>
          <c:order val="2"/>
          <c:tx>
            <c:strRef>
              <c:f>'Exercice 9 - Question 3'!$A$4</c:f>
              <c:strCache>
                <c:ptCount val="1"/>
                <c:pt idx="0">
                  <c:v>N-2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'Exercice 9 - Question 3'!$B$1:$E$1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'Exercice 9 - Question 3'!$B$4:$E$4</c:f>
              <c:numCache>
                <c:formatCode>General</c:formatCode>
                <c:ptCount val="4"/>
                <c:pt idx="0">
                  <c:v>600</c:v>
                </c:pt>
                <c:pt idx="1">
                  <c:v>400</c:v>
                </c:pt>
                <c:pt idx="2">
                  <c:v>520</c:v>
                </c:pt>
                <c:pt idx="3">
                  <c:v>800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974-4A52-96E7-93B1F0AEBDDC}"/>
            </c:ext>
          </c:extLst>
        </c:ser>
        <c:ser>
          <c:idx val="3"/>
          <c:order val="3"/>
          <c:tx>
            <c:strRef>
              <c:f>'Exercice 9 - Question 3'!$A$5</c:f>
              <c:strCache>
                <c:ptCount val="1"/>
                <c:pt idx="0">
                  <c:v>N-1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'Exercice 9 - Question 3'!$B$1:$E$1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'Exercice 9 - Question 3'!$B$5:$E$5</c:f>
              <c:numCache>
                <c:formatCode>General</c:formatCode>
                <c:ptCount val="4"/>
                <c:pt idx="0">
                  <c:v>700</c:v>
                </c:pt>
                <c:pt idx="1">
                  <c:v>600</c:v>
                </c:pt>
                <c:pt idx="2">
                  <c:v>650</c:v>
                </c:pt>
                <c:pt idx="3">
                  <c:v>850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974-4A52-96E7-93B1F0AEBDDC}"/>
            </c:ext>
          </c:extLst>
        </c:ser>
        <c:dLbls/>
        <c:marker val="1"/>
        <c:axId val="143275904"/>
        <c:axId val="143277440"/>
      </c:lineChart>
      <c:catAx>
        <c:axId val="14327590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277440"/>
        <c:crosses val="autoZero"/>
        <c:auto val="1"/>
        <c:lblAlgn val="ctr"/>
        <c:lblOffset val="100"/>
      </c:catAx>
      <c:valAx>
        <c:axId val="14327744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27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plotArea>
      <c:layout/>
      <c:lineChart>
        <c:grouping val="standard"/>
        <c:ser>
          <c:idx val="1"/>
          <c:order val="0"/>
          <c:tx>
            <c:strRef>
              <c:f>'Exercice 10 - Question 2'!$B$1</c:f>
              <c:strCache>
                <c:ptCount val="1"/>
                <c:pt idx="0">
                  <c:v>yi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val>
            <c:numRef>
              <c:f>'Exercice 10 - Question 2'!$B$2:$B$7</c:f>
              <c:numCache>
                <c:formatCode>General</c:formatCode>
                <c:ptCount val="6"/>
                <c:pt idx="0">
                  <c:v>45000</c:v>
                </c:pt>
                <c:pt idx="1">
                  <c:v>65000</c:v>
                </c:pt>
                <c:pt idx="2">
                  <c:v>145000</c:v>
                </c:pt>
                <c:pt idx="3">
                  <c:v>195000</c:v>
                </c:pt>
                <c:pt idx="4">
                  <c:v>200000</c:v>
                </c:pt>
                <c:pt idx="5">
                  <c:v>226000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F92-45F4-9D3E-17A10BB2D773}"/>
            </c:ext>
          </c:extLst>
        </c:ser>
        <c:dLbls/>
        <c:marker val="1"/>
        <c:axId val="143406208"/>
        <c:axId val="143407744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'Exercice 10 - Question 2'!$A$1</c15:sqref>
                        </c15:formulaRef>
                      </c:ext>
                    </c:extLst>
                    <c:strCache>
                      <c:ptCount val="1"/>
                      <c:pt idx="0">
                        <c:v>xi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'Exercice 10 - Question 2'!$A$2:$A$7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F92-45F4-9D3E-17A10BB2D773}"/>
                  </c:ext>
                </c:extLst>
              </c15:ser>
            </c15:filteredLineSeries>
          </c:ext>
        </c:extLst>
      </c:lineChart>
      <c:catAx>
        <c:axId val="143406208"/>
        <c:scaling>
          <c:orientation val="minMax"/>
        </c:scaling>
        <c:axPos val="b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407744"/>
        <c:crosses val="autoZero"/>
        <c:auto val="1"/>
        <c:lblAlgn val="ctr"/>
        <c:lblOffset val="100"/>
      </c:catAx>
      <c:valAx>
        <c:axId val="14340774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40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Marchés trimestriels</a:t>
            </a:r>
          </a:p>
        </c:rich>
      </c:tx>
      <c:layout/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'Exercice 10 - Questions 7 et 8'!$A$2</c:f>
              <c:strCache>
                <c:ptCount val="1"/>
                <c:pt idx="0">
                  <c:v>N-2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'Exercice 10 - Questions 7 et 8'!$B$1:$E$1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'Exercice 10 - Questions 7 et 8'!$B$2:$E$2</c:f>
              <c:numCache>
                <c:formatCode>#,##0</c:formatCode>
                <c:ptCount val="4"/>
                <c:pt idx="0" formatCode="General">
                  <c:v>61400</c:v>
                </c:pt>
                <c:pt idx="1">
                  <c:v>40400</c:v>
                </c:pt>
                <c:pt idx="2">
                  <c:v>30000</c:v>
                </c:pt>
                <c:pt idx="3">
                  <c:v>63200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E46-4706-8ADE-CEECA785A638}"/>
            </c:ext>
          </c:extLst>
        </c:ser>
        <c:ser>
          <c:idx val="1"/>
          <c:order val="1"/>
          <c:tx>
            <c:strRef>
              <c:f>'Exercice 10 - Questions 7 et 8'!$A$3</c:f>
              <c:strCache>
                <c:ptCount val="1"/>
                <c:pt idx="0">
                  <c:v>N-1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'Exercice 10 - Questions 7 et 8'!$B$1:$E$1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'Exercice 10 - Questions 7 et 8'!$B$3:$E$3</c:f>
              <c:numCache>
                <c:formatCode>#,##0</c:formatCode>
                <c:ptCount val="4"/>
                <c:pt idx="0">
                  <c:v>61000</c:v>
                </c:pt>
                <c:pt idx="1">
                  <c:v>39500</c:v>
                </c:pt>
                <c:pt idx="2">
                  <c:v>31450</c:v>
                </c:pt>
                <c:pt idx="3">
                  <c:v>68050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E46-4706-8ADE-CEECA785A638}"/>
            </c:ext>
          </c:extLst>
        </c:ser>
        <c:ser>
          <c:idx val="2"/>
          <c:order val="2"/>
          <c:tx>
            <c:strRef>
              <c:f>'Exercice 10 - Questions 7 et 8'!$A$4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'Exercice 10 - Questions 7 et 8'!$B$1:$E$1</c:f>
              <c:strCache>
                <c:ptCount val="4"/>
                <c:pt idx="0">
                  <c:v>Trimestre 1</c:v>
                </c:pt>
                <c:pt idx="1">
                  <c:v>Trimestre 2</c:v>
                </c:pt>
                <c:pt idx="2">
                  <c:v>Trimestre 3</c:v>
                </c:pt>
                <c:pt idx="3">
                  <c:v>Trimestre 4</c:v>
                </c:pt>
              </c:strCache>
            </c:strRef>
          </c:cat>
          <c:val>
            <c:numRef>
              <c:f>'Exercice 10 - Questions 7 et 8'!$B$4:$E$4</c:f>
              <c:numCache>
                <c:formatCode>#,##0</c:formatCode>
                <c:ptCount val="4"/>
                <c:pt idx="0">
                  <c:v>64200</c:v>
                </c:pt>
                <c:pt idx="1">
                  <c:v>43100</c:v>
                </c:pt>
                <c:pt idx="2">
                  <c:v>31850</c:v>
                </c:pt>
                <c:pt idx="3">
                  <c:v>86850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E46-4706-8ADE-CEECA785A638}"/>
            </c:ext>
          </c:extLst>
        </c:ser>
        <c:dLbls/>
        <c:marker val="1"/>
        <c:axId val="143370880"/>
        <c:axId val="143376768"/>
      </c:lineChart>
      <c:catAx>
        <c:axId val="14337088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376768"/>
        <c:crosses val="autoZero"/>
        <c:auto val="1"/>
        <c:lblAlgn val="ctr"/>
        <c:lblOffset val="100"/>
      </c:catAx>
      <c:valAx>
        <c:axId val="14337676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37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6</xdr:row>
      <xdr:rowOff>76200</xdr:rowOff>
    </xdr:from>
    <xdr:to>
      <xdr:col>10</xdr:col>
      <xdr:colOff>733425</xdr:colOff>
      <xdr:row>18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19050</xdr:rowOff>
    </xdr:from>
    <xdr:to>
      <xdr:col>10</xdr:col>
      <xdr:colOff>85725</xdr:colOff>
      <xdr:row>13</xdr:row>
      <xdr:rowOff>47625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671512</xdr:colOff>
      <xdr:row>9</xdr:row>
      <xdr:rowOff>152400</xdr:rowOff>
    </xdr:from>
    <xdr:to>
      <xdr:col>10</xdr:col>
      <xdr:colOff>671512</xdr:colOff>
      <xdr:row>23</xdr:row>
      <xdr:rowOff>66675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114300</xdr:rowOff>
    </xdr:from>
    <xdr:to>
      <xdr:col>10</xdr:col>
      <xdr:colOff>257175</xdr:colOff>
      <xdr:row>13</xdr:row>
      <xdr:rowOff>209550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</xdr:row>
      <xdr:rowOff>190500</xdr:rowOff>
    </xdr:from>
    <xdr:to>
      <xdr:col>11</xdr:col>
      <xdr:colOff>171450</xdr:colOff>
      <xdr:row>16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933450</xdr:colOff>
      <xdr:row>9</xdr:row>
      <xdr:rowOff>104775</xdr:rowOff>
    </xdr:from>
    <xdr:to>
      <xdr:col>8</xdr:col>
      <xdr:colOff>533400</xdr:colOff>
      <xdr:row>23</xdr:row>
      <xdr:rowOff>28575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38100</xdr:rowOff>
    </xdr:from>
    <xdr:to>
      <xdr:col>6</xdr:col>
      <xdr:colOff>28575</xdr:colOff>
      <xdr:row>17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opLeftCell="D1" workbookViewId="0">
      <selection activeCell="L20" sqref="L20"/>
    </sheetView>
  </sheetViews>
  <sheetFormatPr baseColWidth="10" defaultRowHeight="15"/>
  <cols>
    <col min="3" max="7" width="13.42578125" customWidth="1"/>
  </cols>
  <sheetData>
    <row r="1" spans="1:11" ht="15.75" thickBot="1">
      <c r="A1" s="3"/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0</v>
      </c>
    </row>
    <row r="2" spans="1:11" ht="30.75" thickBot="1">
      <c r="A2" s="5" t="s">
        <v>13</v>
      </c>
      <c r="B2" s="6">
        <v>490</v>
      </c>
      <c r="C2" s="6">
        <v>585</v>
      </c>
      <c r="D2" s="6">
        <v>750</v>
      </c>
      <c r="E2" s="6">
        <v>770</v>
      </c>
      <c r="F2" s="6">
        <v>900</v>
      </c>
      <c r="G2" s="6">
        <v>1000</v>
      </c>
      <c r="H2" s="6">
        <v>1100</v>
      </c>
      <c r="I2" s="6">
        <v>1130</v>
      </c>
      <c r="J2" s="6">
        <v>1160</v>
      </c>
      <c r="K2" s="6">
        <v>1190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topLeftCell="A4" workbookViewId="0">
      <selection activeCell="E15" sqref="E15"/>
    </sheetView>
  </sheetViews>
  <sheetFormatPr baseColWidth="10" defaultRowHeight="15"/>
  <cols>
    <col min="1" max="4" width="15" customWidth="1"/>
  </cols>
  <sheetData>
    <row r="1" spans="1:4" ht="18">
      <c r="A1" s="1" t="s">
        <v>1</v>
      </c>
      <c r="B1" s="1" t="s">
        <v>14</v>
      </c>
      <c r="C1" s="1" t="s">
        <v>25</v>
      </c>
      <c r="D1" s="1" t="s">
        <v>15</v>
      </c>
    </row>
    <row r="2" spans="1:4">
      <c r="A2" s="1">
        <v>1</v>
      </c>
      <c r="B2" s="1">
        <v>1100</v>
      </c>
      <c r="C2" s="1">
        <v>1</v>
      </c>
      <c r="D2" s="13">
        <f>A2*B2</f>
        <v>1100</v>
      </c>
    </row>
    <row r="3" spans="1:4">
      <c r="A3" s="1">
        <v>2</v>
      </c>
      <c r="B3" s="1">
        <v>1130</v>
      </c>
      <c r="C3" s="1">
        <v>4</v>
      </c>
      <c r="D3" s="13">
        <f>A3*B3</f>
        <v>2260</v>
      </c>
    </row>
    <row r="4" spans="1:4" ht="18">
      <c r="A4" s="33" t="s">
        <v>1</v>
      </c>
      <c r="B4" s="33" t="s">
        <v>14</v>
      </c>
      <c r="C4" s="1" t="s">
        <v>25</v>
      </c>
      <c r="D4" s="33" t="s">
        <v>15</v>
      </c>
    </row>
    <row r="5" spans="1:4">
      <c r="A5" s="33">
        <v>1</v>
      </c>
      <c r="B5" s="33">
        <v>38</v>
      </c>
      <c r="C5" s="33">
        <f>A5*A5</f>
        <v>1</v>
      </c>
      <c r="D5" s="33">
        <f>A5*B5</f>
        <v>38</v>
      </c>
    </row>
    <row r="6" spans="1:4">
      <c r="A6" s="33">
        <v>2</v>
      </c>
      <c r="B6" s="33">
        <v>84</v>
      </c>
      <c r="C6" s="33">
        <f t="shared" ref="C6:C8" si="0">A6*A6</f>
        <v>4</v>
      </c>
      <c r="D6" s="33">
        <f t="shared" ref="D6:D8" si="1">A6*B6</f>
        <v>168</v>
      </c>
    </row>
    <row r="7" spans="1:4">
      <c r="A7" s="33">
        <v>3</v>
      </c>
      <c r="B7" s="33">
        <v>144</v>
      </c>
      <c r="C7" s="33">
        <f t="shared" si="0"/>
        <v>9</v>
      </c>
      <c r="D7" s="33">
        <f t="shared" si="1"/>
        <v>432</v>
      </c>
    </row>
    <row r="8" spans="1:4">
      <c r="A8" s="33">
        <v>4</v>
      </c>
      <c r="B8" s="33">
        <v>204</v>
      </c>
      <c r="C8" s="33">
        <f t="shared" si="0"/>
        <v>16</v>
      </c>
      <c r="D8" s="33">
        <f t="shared" si="1"/>
        <v>816</v>
      </c>
    </row>
    <row r="9" spans="1:4">
      <c r="A9" s="33">
        <f>SUM(A5:A8)</f>
        <v>10</v>
      </c>
      <c r="B9" s="33">
        <f>SUM(B5:B8)</f>
        <v>470</v>
      </c>
      <c r="C9" s="33">
        <f>SUM(C5:C8)</f>
        <v>30</v>
      </c>
      <c r="D9" s="33">
        <f>SUM(D5:D8)</f>
        <v>1454</v>
      </c>
    </row>
    <row r="10" spans="1:4">
      <c r="A10" s="34"/>
      <c r="B10" s="34"/>
      <c r="C10" s="34"/>
      <c r="D10" s="34"/>
    </row>
    <row r="11" spans="1:4" ht="15.75">
      <c r="A11" s="8" t="s">
        <v>18</v>
      </c>
      <c r="B11" s="35">
        <f>A9/4</f>
        <v>2.5</v>
      </c>
    </row>
    <row r="12" spans="1:4" ht="15.75">
      <c r="A12" s="8" t="s">
        <v>19</v>
      </c>
      <c r="B12" s="36">
        <f>B9/4</f>
        <v>117.5</v>
      </c>
    </row>
    <row r="13" spans="1:4" ht="15.75">
      <c r="A13" s="8" t="s">
        <v>20</v>
      </c>
      <c r="B13" s="35">
        <f>B11*B11</f>
        <v>6.25</v>
      </c>
    </row>
    <row r="14" spans="1:4" ht="15.75">
      <c r="A14" s="8"/>
      <c r="B14" s="8"/>
    </row>
    <row r="15" spans="1:4" ht="18.75">
      <c r="A15" s="39" t="s">
        <v>41</v>
      </c>
      <c r="B15" s="37">
        <f>D9-4*B11*B12</f>
        <v>279</v>
      </c>
    </row>
    <row r="16" spans="1:4" ht="20.25">
      <c r="A16" s="8" t="s">
        <v>40</v>
      </c>
      <c r="B16" s="35">
        <f>C9-4*B13</f>
        <v>5</v>
      </c>
    </row>
    <row r="17" spans="1:2" ht="15.75">
      <c r="A17" s="8"/>
      <c r="B17" s="8"/>
    </row>
    <row r="18" spans="1:2" ht="15.75">
      <c r="A18" s="8" t="s">
        <v>23</v>
      </c>
      <c r="B18" s="38">
        <f>B15/B16</f>
        <v>55.8</v>
      </c>
    </row>
    <row r="19" spans="1:2" ht="15.75">
      <c r="A19" s="8" t="s">
        <v>24</v>
      </c>
      <c r="B19" s="38">
        <f>B12-B18*B11</f>
        <v>-22</v>
      </c>
    </row>
    <row r="20" spans="1:2" ht="15.75">
      <c r="A20" s="8"/>
      <c r="B20" s="8"/>
    </row>
    <row r="21" spans="1:2" ht="15.75">
      <c r="A21" s="8" t="s">
        <v>26</v>
      </c>
      <c r="B21" s="8"/>
    </row>
    <row r="22" spans="1:2" ht="15.75">
      <c r="A22" s="8">
        <v>5</v>
      </c>
      <c r="B22" s="38">
        <f>B18*A22+B19</f>
        <v>257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>
      <selection activeCell="J21" sqref="J21"/>
    </sheetView>
  </sheetViews>
  <sheetFormatPr baseColWidth="10" defaultRowHeight="15"/>
  <cols>
    <col min="1" max="1" width="15" customWidth="1"/>
    <col min="2" max="2" width="12.42578125" customWidth="1"/>
  </cols>
  <sheetData>
    <row r="1" spans="1:4" ht="45">
      <c r="A1" s="1" t="s">
        <v>3</v>
      </c>
      <c r="B1" s="1" t="s">
        <v>27</v>
      </c>
      <c r="C1" s="1" t="s">
        <v>25</v>
      </c>
      <c r="D1" s="1" t="s">
        <v>15</v>
      </c>
    </row>
    <row r="2" spans="1:4">
      <c r="A2" s="1">
        <v>1</v>
      </c>
      <c r="B2" s="13">
        <v>5072</v>
      </c>
      <c r="C2" s="1">
        <f>A2*A2</f>
        <v>1</v>
      </c>
      <c r="D2" s="13">
        <f>A2*B2</f>
        <v>5072</v>
      </c>
    </row>
    <row r="3" spans="1:4">
      <c r="A3" s="1">
        <v>2</v>
      </c>
      <c r="B3" s="13">
        <v>5333</v>
      </c>
      <c r="C3" s="1">
        <f t="shared" ref="C3:C10" si="0">A3*A3</f>
        <v>4</v>
      </c>
      <c r="D3" s="13">
        <f t="shared" ref="D3:D10" si="1">A3*B3</f>
        <v>10666</v>
      </c>
    </row>
    <row r="4" spans="1:4">
      <c r="A4" s="1">
        <v>3</v>
      </c>
      <c r="B4" s="13">
        <v>5962</v>
      </c>
      <c r="C4" s="1">
        <f t="shared" si="0"/>
        <v>9</v>
      </c>
      <c r="D4" s="13">
        <f t="shared" si="1"/>
        <v>17886</v>
      </c>
    </row>
    <row r="5" spans="1:4">
      <c r="A5" s="1">
        <v>4</v>
      </c>
      <c r="B5" s="13">
        <v>7246</v>
      </c>
      <c r="C5" s="1">
        <f t="shared" si="0"/>
        <v>16</v>
      </c>
      <c r="D5" s="13">
        <f t="shared" si="1"/>
        <v>28984</v>
      </c>
    </row>
    <row r="6" spans="1:4">
      <c r="A6" s="1">
        <v>5</v>
      </c>
      <c r="B6" s="13">
        <v>8839</v>
      </c>
      <c r="C6" s="1">
        <f t="shared" si="0"/>
        <v>25</v>
      </c>
      <c r="D6" s="13">
        <f t="shared" si="1"/>
        <v>44195</v>
      </c>
    </row>
    <row r="7" spans="1:4">
      <c r="A7" s="1">
        <v>6</v>
      </c>
      <c r="B7" s="13">
        <v>8875</v>
      </c>
      <c r="C7" s="1">
        <f t="shared" si="0"/>
        <v>36</v>
      </c>
      <c r="D7" s="13">
        <f t="shared" si="1"/>
        <v>53250</v>
      </c>
    </row>
    <row r="8" spans="1:4">
      <c r="A8" s="1">
        <v>7</v>
      </c>
      <c r="B8" s="13">
        <v>10441</v>
      </c>
      <c r="C8" s="1">
        <f t="shared" si="0"/>
        <v>49</v>
      </c>
      <c r="D8" s="13">
        <f t="shared" si="1"/>
        <v>73087</v>
      </c>
    </row>
    <row r="9" spans="1:4">
      <c r="A9" s="1">
        <v>8</v>
      </c>
      <c r="B9" s="13">
        <v>11106</v>
      </c>
      <c r="C9" s="1">
        <f t="shared" si="0"/>
        <v>64</v>
      </c>
      <c r="D9" s="13">
        <f t="shared" si="1"/>
        <v>88848</v>
      </c>
    </row>
    <row r="10" spans="1:4">
      <c r="A10" s="1">
        <v>9</v>
      </c>
      <c r="B10" s="13">
        <v>14142</v>
      </c>
      <c r="C10" s="1">
        <f t="shared" si="0"/>
        <v>81</v>
      </c>
      <c r="D10" s="13">
        <f t="shared" si="1"/>
        <v>127278</v>
      </c>
    </row>
    <row r="11" spans="1:4">
      <c r="A11" s="14">
        <f>SUM(A2:A10)</f>
        <v>45</v>
      </c>
      <c r="B11" s="14">
        <f>SUM(B2:B10)</f>
        <v>77016</v>
      </c>
      <c r="C11" s="14">
        <f>SUM(C2:C10)</f>
        <v>285</v>
      </c>
      <c r="D11" s="14">
        <f>SUM(D2:D10)</f>
        <v>449266</v>
      </c>
    </row>
    <row r="12" spans="1:4" ht="18.75">
      <c r="C12" s="7" t="s">
        <v>16</v>
      </c>
      <c r="D12" s="7" t="s">
        <v>17</v>
      </c>
    </row>
    <row r="13" spans="1:4" ht="15.75">
      <c r="C13" s="7"/>
      <c r="D13" s="7"/>
    </row>
    <row r="14" spans="1:4">
      <c r="B14" t="s">
        <v>38</v>
      </c>
      <c r="C14" t="s">
        <v>39</v>
      </c>
    </row>
    <row r="15" spans="1:4" ht="15.75">
      <c r="A15" s="8" t="s">
        <v>18</v>
      </c>
      <c r="B15" s="9">
        <f>A11/A10</f>
        <v>5</v>
      </c>
      <c r="C15">
        <v>5</v>
      </c>
    </row>
    <row r="16" spans="1:4" ht="15.75">
      <c r="A16" s="8" t="s">
        <v>19</v>
      </c>
      <c r="B16" s="10">
        <f>B11/A10</f>
        <v>8557.3333333333339</v>
      </c>
      <c r="C16">
        <v>8557</v>
      </c>
    </row>
    <row r="17" spans="1:3" ht="15.75">
      <c r="A17" s="8" t="s">
        <v>20</v>
      </c>
      <c r="B17" s="9">
        <f>B15*B15</f>
        <v>25</v>
      </c>
      <c r="C17">
        <v>25</v>
      </c>
    </row>
    <row r="18" spans="1:3" ht="15.75">
      <c r="A18" s="8"/>
    </row>
    <row r="19" spans="1:3" ht="18.75">
      <c r="A19" s="11" t="s">
        <v>21</v>
      </c>
      <c r="B19" s="12">
        <f>D11-A10*B15*B16</f>
        <v>64186</v>
      </c>
      <c r="C19">
        <f>D11-A10*C15*C16</f>
        <v>64201</v>
      </c>
    </row>
    <row r="20" spans="1:3" ht="20.25">
      <c r="A20" s="11" t="s">
        <v>22</v>
      </c>
      <c r="B20" s="12">
        <f>C11-A10*B17</f>
        <v>60</v>
      </c>
      <c r="C20">
        <f>C11-A10*C15*C15</f>
        <v>60</v>
      </c>
    </row>
    <row r="22" spans="1:3">
      <c r="A22" t="s">
        <v>23</v>
      </c>
      <c r="B22" s="2">
        <f>B19/B20</f>
        <v>1069.7666666666667</v>
      </c>
      <c r="C22" s="29">
        <f>C19/C20</f>
        <v>1070.0166666666667</v>
      </c>
    </row>
    <row r="23" spans="1:3">
      <c r="A23" t="s">
        <v>24</v>
      </c>
      <c r="B23" s="2">
        <f>B16-B22*B15</f>
        <v>3208.5000000000009</v>
      </c>
      <c r="C23" s="29">
        <f>C16-C22*C15</f>
        <v>3206.916666666667</v>
      </c>
    </row>
    <row r="25" spans="1:3">
      <c r="A25" t="s">
        <v>26</v>
      </c>
    </row>
    <row r="26" spans="1:3">
      <c r="A26">
        <v>10</v>
      </c>
      <c r="B26" s="2">
        <f>B$22*A26+B$23</f>
        <v>13906.166666666668</v>
      </c>
      <c r="C26" s="29">
        <f>A26*C$22+C$23</f>
        <v>13907.083333333332</v>
      </c>
    </row>
    <row r="27" spans="1:3">
      <c r="A27">
        <v>11</v>
      </c>
      <c r="B27" s="2">
        <f>B$22*A27+B$23</f>
        <v>14975.933333333334</v>
      </c>
      <c r="C27" s="29">
        <f>A27*C$22+C$23</f>
        <v>14977.099999999999</v>
      </c>
    </row>
    <row r="28" spans="1:3">
      <c r="A28">
        <v>12</v>
      </c>
      <c r="B28" s="2">
        <f>B$22*A28+B$23</f>
        <v>16045.7</v>
      </c>
      <c r="C28" s="29">
        <f>A28*C$22+C$23</f>
        <v>16047.116666666669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selection activeCell="C1" sqref="C1"/>
    </sheetView>
  </sheetViews>
  <sheetFormatPr baseColWidth="10" defaultRowHeight="15"/>
  <cols>
    <col min="1" max="1" width="22.7109375" customWidth="1"/>
    <col min="2" max="2" width="19.28515625" customWidth="1"/>
    <col min="3" max="3" width="18.85546875" customWidth="1"/>
  </cols>
  <sheetData>
    <row r="1" spans="1:4" ht="18">
      <c r="A1" s="1" t="s">
        <v>1</v>
      </c>
      <c r="B1" s="1" t="s">
        <v>28</v>
      </c>
      <c r="C1" s="1" t="s">
        <v>25</v>
      </c>
      <c r="D1" s="1" t="s">
        <v>15</v>
      </c>
    </row>
    <row r="2" spans="1:4">
      <c r="A2" s="1">
        <v>15</v>
      </c>
      <c r="B2" s="1">
        <v>75000</v>
      </c>
      <c r="C2" s="1">
        <f t="shared" ref="C2:C7" si="0">A2*A2</f>
        <v>225</v>
      </c>
      <c r="D2" s="13">
        <f t="shared" ref="D2:D7" si="1">A2*B2</f>
        <v>1125000</v>
      </c>
    </row>
    <row r="3" spans="1:4">
      <c r="A3" s="1">
        <v>18.5</v>
      </c>
      <c r="B3" s="1">
        <v>95400</v>
      </c>
      <c r="C3" s="1">
        <f t="shared" si="0"/>
        <v>342.25</v>
      </c>
      <c r="D3" s="13">
        <f t="shared" si="1"/>
        <v>1764900</v>
      </c>
    </row>
    <row r="4" spans="1:4">
      <c r="A4" s="1">
        <v>19</v>
      </c>
      <c r="B4" s="1">
        <v>100400</v>
      </c>
      <c r="C4" s="1">
        <f t="shared" si="0"/>
        <v>361</v>
      </c>
      <c r="D4" s="13">
        <f t="shared" si="1"/>
        <v>1907600</v>
      </c>
    </row>
    <row r="5" spans="1:4">
      <c r="A5" s="1">
        <v>16.5</v>
      </c>
      <c r="B5" s="1">
        <v>83500</v>
      </c>
      <c r="C5" s="1">
        <f t="shared" si="0"/>
        <v>272.25</v>
      </c>
      <c r="D5" s="13">
        <f t="shared" si="1"/>
        <v>1377750</v>
      </c>
    </row>
    <row r="6" spans="1:4">
      <c r="A6" s="1">
        <v>16</v>
      </c>
      <c r="B6" s="1">
        <v>80400</v>
      </c>
      <c r="C6" s="1">
        <f t="shared" si="0"/>
        <v>256</v>
      </c>
      <c r="D6" s="13">
        <f t="shared" si="1"/>
        <v>1286400</v>
      </c>
    </row>
    <row r="7" spans="1:4">
      <c r="A7" s="1">
        <v>18.2</v>
      </c>
      <c r="B7" s="1">
        <v>92400</v>
      </c>
      <c r="C7" s="1">
        <f t="shared" si="0"/>
        <v>331.23999999999995</v>
      </c>
      <c r="D7" s="13">
        <f t="shared" si="1"/>
        <v>1681680</v>
      </c>
    </row>
    <row r="8" spans="1:4">
      <c r="A8" s="14">
        <f>SUM(A2:A7)</f>
        <v>103.2</v>
      </c>
      <c r="B8" s="14">
        <f>SUM(B2:B7)</f>
        <v>527100</v>
      </c>
      <c r="C8" s="14">
        <f>SUM(C2:C7)</f>
        <v>1787.74</v>
      </c>
      <c r="D8" s="14">
        <f>SUM(D2:D7)</f>
        <v>9143330</v>
      </c>
    </row>
    <row r="9" spans="1:4" ht="18.75">
      <c r="A9" s="15">
        <v>6</v>
      </c>
      <c r="C9" s="7" t="s">
        <v>16</v>
      </c>
      <c r="D9" s="7" t="s">
        <v>17</v>
      </c>
    </row>
    <row r="10" spans="1:4" ht="15.75">
      <c r="A10" s="25"/>
      <c r="C10" s="7"/>
      <c r="D10" s="7"/>
    </row>
    <row r="11" spans="1:4">
      <c r="B11" t="s">
        <v>38</v>
      </c>
    </row>
    <row r="12" spans="1:4" ht="15.75">
      <c r="A12" s="8" t="s">
        <v>18</v>
      </c>
      <c r="B12" s="31">
        <f>A8/A9</f>
        <v>17.2</v>
      </c>
    </row>
    <row r="13" spans="1:4" ht="15.75">
      <c r="A13" s="8" t="s">
        <v>19</v>
      </c>
      <c r="B13" s="17">
        <f>B8/A9</f>
        <v>87850</v>
      </c>
    </row>
    <row r="14" spans="1:4" ht="15.75">
      <c r="A14" s="8" t="s">
        <v>20</v>
      </c>
      <c r="B14" s="16">
        <f>B12*B12</f>
        <v>295.83999999999997</v>
      </c>
    </row>
    <row r="15" spans="1:4" ht="15.75">
      <c r="A15" s="8"/>
      <c r="B15" s="9"/>
    </row>
    <row r="16" spans="1:4" ht="18.75">
      <c r="A16" s="11" t="s">
        <v>21</v>
      </c>
      <c r="B16" s="10">
        <f>D8-A9*B12*B13</f>
        <v>77210.000000001863</v>
      </c>
    </row>
    <row r="17" spans="1:3" ht="20.25">
      <c r="A17" s="11" t="s">
        <v>22</v>
      </c>
      <c r="B17" s="32">
        <f>C8-A9*B14</f>
        <v>12.700000000000045</v>
      </c>
    </row>
    <row r="18" spans="1:3">
      <c r="B18" s="9"/>
    </row>
    <row r="19" spans="1:3">
      <c r="A19" t="s">
        <v>23</v>
      </c>
      <c r="B19" s="30">
        <f>B16/B17</f>
        <v>6079.5275590552428</v>
      </c>
      <c r="C19" s="30"/>
    </row>
    <row r="20" spans="1:3">
      <c r="A20" t="s">
        <v>24</v>
      </c>
      <c r="B20" s="30">
        <f>B13-B19*B12</f>
        <v>-16717.874015750174</v>
      </c>
      <c r="C20" s="30"/>
    </row>
    <row r="21" spans="1:3">
      <c r="B21" s="9"/>
    </row>
    <row r="22" spans="1:3">
      <c r="A22" t="s">
        <v>26</v>
      </c>
      <c r="B22" s="9"/>
    </row>
    <row r="23" spans="1:3">
      <c r="A23">
        <v>20</v>
      </c>
      <c r="B23" s="30">
        <f>B$19*A23+B$20</f>
        <v>104872.67716535467</v>
      </c>
    </row>
    <row r="24" spans="1:3">
      <c r="B24" s="30"/>
    </row>
    <row r="25" spans="1:3">
      <c r="B25" s="3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sqref="A1:D21"/>
    </sheetView>
  </sheetViews>
  <sheetFormatPr baseColWidth="10" defaultRowHeight="15"/>
  <sheetData>
    <row r="1" spans="1:4" ht="18">
      <c r="A1" s="1" t="s">
        <v>1</v>
      </c>
      <c r="B1" s="1" t="s">
        <v>14</v>
      </c>
      <c r="C1" s="1" t="s">
        <v>25</v>
      </c>
      <c r="D1" s="1" t="s">
        <v>15</v>
      </c>
    </row>
    <row r="2" spans="1:4">
      <c r="A2" s="1">
        <v>1</v>
      </c>
      <c r="B2" s="1">
        <v>1800</v>
      </c>
      <c r="C2" s="1">
        <f>A2*A2</f>
        <v>1</v>
      </c>
      <c r="D2" s="13">
        <f>A2*B2</f>
        <v>1800</v>
      </c>
    </row>
    <row r="3" spans="1:4">
      <c r="A3" s="1">
        <v>2</v>
      </c>
      <c r="B3" s="1">
        <v>2000</v>
      </c>
      <c r="C3" s="1">
        <f t="shared" ref="C3:C5" si="0">A3*A3</f>
        <v>4</v>
      </c>
      <c r="D3" s="13">
        <f t="shared" ref="D3:D5" si="1">A3*B3</f>
        <v>4000</v>
      </c>
    </row>
    <row r="4" spans="1:4">
      <c r="A4" s="1">
        <v>3</v>
      </c>
      <c r="B4" s="1">
        <v>2320</v>
      </c>
      <c r="C4" s="1">
        <f t="shared" si="0"/>
        <v>9</v>
      </c>
      <c r="D4" s="13">
        <f t="shared" si="1"/>
        <v>6960</v>
      </c>
    </row>
    <row r="5" spans="1:4">
      <c r="A5" s="1">
        <v>4</v>
      </c>
      <c r="B5" s="1">
        <v>2800</v>
      </c>
      <c r="C5" s="1">
        <f t="shared" si="0"/>
        <v>16</v>
      </c>
      <c r="D5" s="13">
        <f t="shared" si="1"/>
        <v>11200</v>
      </c>
    </row>
    <row r="6" spans="1:4">
      <c r="A6" s="14">
        <f>SUM(A2:A5)</f>
        <v>10</v>
      </c>
      <c r="B6" s="14">
        <f>SUM(B2:B5)</f>
        <v>8920</v>
      </c>
      <c r="C6" s="14">
        <f>SUM(C2:C5)</f>
        <v>30</v>
      </c>
      <c r="D6" s="14">
        <f>SUM(D2:D5)</f>
        <v>23960</v>
      </c>
    </row>
    <row r="7" spans="1:4" ht="18.75">
      <c r="A7" s="22">
        <v>4</v>
      </c>
      <c r="C7" s="7" t="s">
        <v>16</v>
      </c>
      <c r="D7" s="7" t="s">
        <v>17</v>
      </c>
    </row>
    <row r="9" spans="1:4" ht="15.75">
      <c r="A9" s="8" t="s">
        <v>18</v>
      </c>
      <c r="B9" s="9">
        <f>A6/A7</f>
        <v>2.5</v>
      </c>
    </row>
    <row r="10" spans="1:4" ht="15.75">
      <c r="A10" s="8" t="s">
        <v>19</v>
      </c>
      <c r="B10" s="10">
        <f>B6/A7</f>
        <v>2230</v>
      </c>
    </row>
    <row r="11" spans="1:4" ht="15.75">
      <c r="A11" s="8" t="s">
        <v>20</v>
      </c>
      <c r="B11" s="9">
        <f>B9*B9</f>
        <v>6.25</v>
      </c>
    </row>
    <row r="12" spans="1:4" ht="15.75">
      <c r="A12" s="8"/>
    </row>
    <row r="13" spans="1:4" ht="18.75">
      <c r="A13" s="11" t="s">
        <v>21</v>
      </c>
      <c r="B13" s="12">
        <f>D6-A7*B9*B10</f>
        <v>1660</v>
      </c>
    </row>
    <row r="14" spans="1:4" ht="20.25">
      <c r="A14" s="11" t="s">
        <v>22</v>
      </c>
      <c r="B14" s="12">
        <f>C6-A7*B11</f>
        <v>5</v>
      </c>
    </row>
    <row r="16" spans="1:4">
      <c r="A16" t="s">
        <v>23</v>
      </c>
      <c r="B16" s="2">
        <f>B13/B14</f>
        <v>332</v>
      </c>
    </row>
    <row r="17" spans="1:2">
      <c r="A17" t="s">
        <v>24</v>
      </c>
      <c r="B17" s="2">
        <f>B10-B16*B9</f>
        <v>1400</v>
      </c>
    </row>
    <row r="19" spans="1:2">
      <c r="A19" t="s">
        <v>26</v>
      </c>
    </row>
    <row r="20" spans="1:2">
      <c r="A20">
        <v>5</v>
      </c>
      <c r="B20" s="2">
        <f>B$16*A20+B$17</f>
        <v>3060</v>
      </c>
    </row>
    <row r="21" spans="1:2">
      <c r="B21" s="2"/>
    </row>
    <row r="22" spans="1:2">
      <c r="B22" s="2"/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sqref="A1:E5"/>
    </sheetView>
  </sheetViews>
  <sheetFormatPr baseColWidth="10" defaultRowHeight="15"/>
  <sheetData>
    <row r="1" spans="1:5" ht="15.75" thickBot="1">
      <c r="A1" s="18"/>
      <c r="B1" s="19" t="s">
        <v>29</v>
      </c>
      <c r="C1" s="19" t="s">
        <v>30</v>
      </c>
      <c r="D1" s="19" t="s">
        <v>31</v>
      </c>
      <c r="E1" s="19" t="s">
        <v>32</v>
      </c>
    </row>
    <row r="2" spans="1:5" ht="15.75" thickBot="1">
      <c r="A2" s="20" t="s">
        <v>10</v>
      </c>
      <c r="B2" s="21">
        <v>500</v>
      </c>
      <c r="C2" s="21">
        <v>200</v>
      </c>
      <c r="D2" s="21">
        <v>400</v>
      </c>
      <c r="E2" s="21">
        <v>700</v>
      </c>
    </row>
    <row r="3" spans="1:5" ht="15.75" thickBot="1">
      <c r="A3" s="20" t="s">
        <v>11</v>
      </c>
      <c r="B3" s="21">
        <v>600</v>
      </c>
      <c r="C3" s="21">
        <v>250</v>
      </c>
      <c r="D3" s="21">
        <v>450</v>
      </c>
      <c r="E3" s="21">
        <v>700</v>
      </c>
    </row>
    <row r="4" spans="1:5" ht="15.75" thickBot="1">
      <c r="A4" s="20" t="s">
        <v>12</v>
      </c>
      <c r="B4" s="21">
        <v>600</v>
      </c>
      <c r="C4" s="21">
        <v>400</v>
      </c>
      <c r="D4" s="21">
        <v>520</v>
      </c>
      <c r="E4" s="21">
        <v>800</v>
      </c>
    </row>
    <row r="5" spans="1:5" ht="15.75" thickBot="1">
      <c r="A5" s="20" t="s">
        <v>0</v>
      </c>
      <c r="B5" s="21">
        <v>700</v>
      </c>
      <c r="C5" s="21">
        <v>600</v>
      </c>
      <c r="D5" s="21">
        <v>650</v>
      </c>
      <c r="E5" s="21">
        <v>850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activeCell="D26" sqref="D26"/>
    </sheetView>
  </sheetViews>
  <sheetFormatPr baseColWidth="10" defaultRowHeight="15"/>
  <cols>
    <col min="1" max="4" width="14.42578125" customWidth="1"/>
  </cols>
  <sheetData>
    <row r="1" spans="1:4" ht="18">
      <c r="A1" s="1" t="s">
        <v>1</v>
      </c>
      <c r="B1" s="1" t="s">
        <v>14</v>
      </c>
      <c r="C1" s="1" t="s">
        <v>25</v>
      </c>
      <c r="D1" s="1" t="s">
        <v>15</v>
      </c>
    </row>
    <row r="2" spans="1:4">
      <c r="A2" s="1">
        <v>1</v>
      </c>
      <c r="B2" s="1">
        <v>45000</v>
      </c>
      <c r="C2" s="1">
        <f>A2*A2</f>
        <v>1</v>
      </c>
      <c r="D2" s="13">
        <f>A2*B2</f>
        <v>45000</v>
      </c>
    </row>
    <row r="3" spans="1:4">
      <c r="A3" s="1">
        <v>2</v>
      </c>
      <c r="B3" s="1">
        <v>65000</v>
      </c>
      <c r="C3" s="1">
        <f t="shared" ref="C3:C7" si="0">A3*A3</f>
        <v>4</v>
      </c>
      <c r="D3" s="13">
        <f t="shared" ref="D3:D7" si="1">A3*B3</f>
        <v>130000</v>
      </c>
    </row>
    <row r="4" spans="1:4">
      <c r="A4" s="1">
        <v>3</v>
      </c>
      <c r="B4" s="1">
        <v>145000</v>
      </c>
      <c r="C4" s="1">
        <f t="shared" si="0"/>
        <v>9</v>
      </c>
      <c r="D4" s="13">
        <f t="shared" si="1"/>
        <v>435000</v>
      </c>
    </row>
    <row r="5" spans="1:4">
      <c r="A5" s="1">
        <v>4</v>
      </c>
      <c r="B5" s="1">
        <v>195000</v>
      </c>
      <c r="C5" s="1">
        <f t="shared" si="0"/>
        <v>16</v>
      </c>
      <c r="D5" s="13">
        <f t="shared" si="1"/>
        <v>780000</v>
      </c>
    </row>
    <row r="6" spans="1:4">
      <c r="A6" s="1">
        <v>5</v>
      </c>
      <c r="B6" s="1">
        <v>200000</v>
      </c>
      <c r="C6" s="1">
        <f t="shared" si="0"/>
        <v>25</v>
      </c>
      <c r="D6" s="13">
        <f t="shared" si="1"/>
        <v>1000000</v>
      </c>
    </row>
    <row r="7" spans="1:4">
      <c r="A7" s="1">
        <v>6</v>
      </c>
      <c r="B7" s="1">
        <v>226000</v>
      </c>
      <c r="C7" s="1">
        <f t="shared" si="0"/>
        <v>36</v>
      </c>
      <c r="D7" s="13">
        <f t="shared" si="1"/>
        <v>1356000</v>
      </c>
    </row>
    <row r="8" spans="1:4">
      <c r="A8" s="23">
        <f>SUM(A2:A7)</f>
        <v>21</v>
      </c>
      <c r="B8" s="23">
        <f>SUM(B2:B7)</f>
        <v>876000</v>
      </c>
      <c r="C8" s="23">
        <f t="shared" ref="C8:D8" si="2">SUM(C2:C7)</f>
        <v>91</v>
      </c>
      <c r="D8" s="23">
        <f t="shared" si="2"/>
        <v>3746000</v>
      </c>
    </row>
    <row r="9" spans="1:4" ht="18.75">
      <c r="A9" s="22">
        <v>6</v>
      </c>
      <c r="C9" s="7" t="s">
        <v>16</v>
      </c>
      <c r="D9" s="7" t="s">
        <v>17</v>
      </c>
    </row>
    <row r="11" spans="1:4" ht="15.75">
      <c r="A11" s="8" t="s">
        <v>18</v>
      </c>
      <c r="B11" s="9">
        <f>A8/A9</f>
        <v>3.5</v>
      </c>
    </row>
    <row r="12" spans="1:4" ht="15.75">
      <c r="A12" s="8" t="s">
        <v>19</v>
      </c>
      <c r="B12" s="10">
        <f>B8/A9</f>
        <v>146000</v>
      </c>
    </row>
    <row r="13" spans="1:4" ht="15.75">
      <c r="A13" s="8" t="s">
        <v>20</v>
      </c>
      <c r="B13" s="9">
        <f>B11*B11</f>
        <v>12.25</v>
      </c>
    </row>
    <row r="14" spans="1:4" ht="15.75">
      <c r="A14" s="8"/>
    </row>
    <row r="15" spans="1:4" ht="18.75">
      <c r="A15" s="11" t="s">
        <v>21</v>
      </c>
      <c r="B15" s="12">
        <f>D8-A9*B11*B12</f>
        <v>680000</v>
      </c>
    </row>
    <row r="16" spans="1:4" ht="20.25">
      <c r="A16" s="11" t="s">
        <v>22</v>
      </c>
      <c r="B16" s="12">
        <f>C8-A9*B13</f>
        <v>17.5</v>
      </c>
    </row>
    <row r="18" spans="1:2">
      <c r="A18" t="s">
        <v>23</v>
      </c>
      <c r="B18" s="2">
        <f>B15/B16</f>
        <v>38857.142857142855</v>
      </c>
    </row>
    <row r="19" spans="1:2">
      <c r="A19" t="s">
        <v>24</v>
      </c>
      <c r="B19" s="2">
        <f>B12-B18*B11</f>
        <v>10000</v>
      </c>
    </row>
    <row r="21" spans="1:2">
      <c r="A21" t="s">
        <v>26</v>
      </c>
    </row>
    <row r="22" spans="1:2">
      <c r="A22">
        <v>7</v>
      </c>
      <c r="B22" s="2">
        <f>B$18*A22+B$19</f>
        <v>282000</v>
      </c>
    </row>
    <row r="23" spans="1:2">
      <c r="B23" s="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>
      <selection activeCell="A20" sqref="A20"/>
    </sheetView>
  </sheetViews>
  <sheetFormatPr baseColWidth="10" defaultRowHeight="15"/>
  <sheetData>
    <row r="1" spans="1:6">
      <c r="A1" s="1"/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s="1" t="s">
        <v>12</v>
      </c>
      <c r="B2" s="1">
        <v>61400</v>
      </c>
      <c r="C2" s="13">
        <v>40400</v>
      </c>
      <c r="D2" s="13">
        <v>30000</v>
      </c>
      <c r="E2" s="13">
        <v>63200</v>
      </c>
      <c r="F2" s="13">
        <v>195000</v>
      </c>
    </row>
    <row r="3" spans="1:6">
      <c r="A3" s="1" t="s">
        <v>0</v>
      </c>
      <c r="B3" s="13">
        <v>61000</v>
      </c>
      <c r="C3" s="13">
        <v>39500</v>
      </c>
      <c r="D3" s="13">
        <v>31450</v>
      </c>
      <c r="E3" s="13">
        <v>68050</v>
      </c>
      <c r="F3" s="13">
        <v>200000</v>
      </c>
    </row>
    <row r="4" spans="1:6">
      <c r="A4" s="1" t="s">
        <v>2</v>
      </c>
      <c r="B4" s="13">
        <v>64200</v>
      </c>
      <c r="C4" s="13">
        <v>43100</v>
      </c>
      <c r="D4" s="13">
        <v>31850</v>
      </c>
      <c r="E4" s="13">
        <v>86850</v>
      </c>
      <c r="F4" s="13">
        <v>226000</v>
      </c>
    </row>
    <row r="20" spans="1:7">
      <c r="A20" s="1"/>
      <c r="B20" s="1" t="s">
        <v>29</v>
      </c>
      <c r="C20" s="1" t="s">
        <v>30</v>
      </c>
      <c r="D20" s="1" t="s">
        <v>31</v>
      </c>
      <c r="E20" s="1" t="s">
        <v>32</v>
      </c>
    </row>
    <row r="21" spans="1:7">
      <c r="A21" s="1" t="s">
        <v>12</v>
      </c>
      <c r="B21" s="1">
        <v>61400</v>
      </c>
      <c r="C21" s="13">
        <v>40400</v>
      </c>
      <c r="D21" s="13">
        <v>30000</v>
      </c>
      <c r="E21" s="13">
        <v>63200</v>
      </c>
    </row>
    <row r="22" spans="1:7">
      <c r="A22" s="1" t="s">
        <v>0</v>
      </c>
      <c r="B22" s="13">
        <v>61000</v>
      </c>
      <c r="C22" s="13">
        <v>39500</v>
      </c>
      <c r="D22" s="13">
        <v>31450</v>
      </c>
      <c r="E22" s="13">
        <v>68050</v>
      </c>
    </row>
    <row r="23" spans="1:7">
      <c r="A23" s="1" t="s">
        <v>2</v>
      </c>
      <c r="B23" s="13">
        <v>64200</v>
      </c>
      <c r="C23" s="13">
        <v>43100</v>
      </c>
      <c r="D23" s="13">
        <v>31850</v>
      </c>
      <c r="E23" s="13">
        <v>86850</v>
      </c>
    </row>
    <row r="24" spans="1:7">
      <c r="A24" s="25" t="s">
        <v>35</v>
      </c>
      <c r="B24" s="9">
        <f>AVERAGE(B21:B23)</f>
        <v>62200</v>
      </c>
      <c r="C24" s="9">
        <f t="shared" ref="C24:E24" si="0">AVERAGE(C21:C23)</f>
        <v>41000</v>
      </c>
      <c r="D24" s="9">
        <f t="shared" si="0"/>
        <v>31100</v>
      </c>
      <c r="E24" s="9">
        <f t="shared" si="0"/>
        <v>72700</v>
      </c>
      <c r="F24" s="24">
        <f>AVERAGE(B24:E24)</f>
        <v>51750</v>
      </c>
      <c r="G24" t="s">
        <v>34</v>
      </c>
    </row>
    <row r="25" spans="1:7">
      <c r="A25" s="25" t="s">
        <v>36</v>
      </c>
      <c r="B25" s="9">
        <f>B24/$F$24</f>
        <v>1.2019323671497584</v>
      </c>
      <c r="C25" s="9">
        <f t="shared" ref="C25:E25" si="1">C24/$F$24</f>
        <v>0.79227053140096615</v>
      </c>
      <c r="D25" s="9">
        <f t="shared" si="1"/>
        <v>0.60096618357487919</v>
      </c>
      <c r="E25" s="9">
        <f t="shared" si="1"/>
        <v>1.4048309178743961</v>
      </c>
    </row>
    <row r="26" spans="1:7">
      <c r="A26" s="25" t="s">
        <v>37</v>
      </c>
      <c r="B26" s="28">
        <v>1.2</v>
      </c>
      <c r="C26" s="27">
        <v>0.79</v>
      </c>
      <c r="D26" s="27">
        <v>0.6</v>
      </c>
      <c r="E26" s="27">
        <v>1.4</v>
      </c>
      <c r="F26" s="26">
        <f>SUM(B26:E26)</f>
        <v>3.9899999999999998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Exercice 1 - Question 2</vt:lpstr>
      <vt:lpstr>Exercice 2 - Questions 1 et 2</vt:lpstr>
      <vt:lpstr>Exercice 3 - Question 1</vt:lpstr>
      <vt:lpstr> Exercice 4 - Question 1 et 2</vt:lpstr>
      <vt:lpstr>Exercice 9 - Questions 1 et 2</vt:lpstr>
      <vt:lpstr>Exercice 9 - Question 3</vt:lpstr>
      <vt:lpstr>Exercice 10 - Question 2</vt:lpstr>
      <vt:lpstr>Exercice 10 - Questions 7 et 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Véronique Dupas</cp:lastModifiedBy>
  <dcterms:created xsi:type="dcterms:W3CDTF">2018-09-28T15:35:19Z</dcterms:created>
  <dcterms:modified xsi:type="dcterms:W3CDTF">2021-12-28T17:22:40Z</dcterms:modified>
</cp:coreProperties>
</file>