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960" yWindow="945" windowWidth="16995" windowHeight="6570" activeTab="4"/>
  </bookViews>
  <sheets>
    <sheet name="Exercice 2 - Chap4" sheetId="8" r:id="rId1"/>
    <sheet name="Exercice 4 - Chap 4" sheetId="5" r:id="rId2"/>
    <sheet name="Exercice 5 - Chap4" sheetId="7" r:id="rId3"/>
    <sheet name="Exercice 6 - Chap4 " sheetId="9" r:id="rId4"/>
    <sheet name="Exercice 7- Chap4  " sheetId="10" r:id="rId5"/>
  </sheets>
  <calcPr calcId="125725"/>
</workbook>
</file>

<file path=xl/calcChain.xml><?xml version="1.0" encoding="utf-8"?>
<calcChain xmlns="http://schemas.openxmlformats.org/spreadsheetml/2006/main">
  <c r="G30" i="9"/>
  <c r="G29"/>
  <c r="G28"/>
  <c r="G27"/>
  <c r="G26"/>
  <c r="G25"/>
  <c r="G24"/>
  <c r="G23"/>
  <c r="G22"/>
  <c r="F27"/>
  <c r="F23"/>
  <c r="E30"/>
  <c r="F30" s="1"/>
  <c r="F24" l="1"/>
  <c r="F28"/>
  <c r="F25"/>
  <c r="F29"/>
  <c r="F22"/>
  <c r="F26"/>
</calcChain>
</file>

<file path=xl/sharedStrings.xml><?xml version="1.0" encoding="utf-8"?>
<sst xmlns="http://schemas.openxmlformats.org/spreadsheetml/2006/main" count="217" uniqueCount="123">
  <si>
    <t>Stock final</t>
  </si>
  <si>
    <t>Stock initial</t>
  </si>
  <si>
    <t>Ventes prévues</t>
  </si>
  <si>
    <t>Exercice 4</t>
  </si>
  <si>
    <t>Chapitre 4 Assurer la gestion économique des stocks</t>
  </si>
  <si>
    <t>Exercice 2</t>
  </si>
  <si>
    <t>Ventes</t>
  </si>
  <si>
    <t>1. Calculez pour chacun des modèles le stock moyen sur l’année, la rotation des stocks et la durée moyenne de stockage.</t>
  </si>
  <si>
    <t>Modèle Storm</t>
  </si>
  <si>
    <t>Trimestre 1</t>
  </si>
  <si>
    <t>Trimestre 2</t>
  </si>
  <si>
    <t>Trimestre 3</t>
  </si>
  <si>
    <t>Trimestre 4</t>
  </si>
  <si>
    <t>Achats</t>
  </si>
  <si>
    <t>Stock Moyen trimestriel = (SI +SF)/2</t>
  </si>
  <si>
    <t>Modèle Girly</t>
  </si>
  <si>
    <t>Ressource : Flux d’achats et de vente de deux  modèles de VTT pour l’année passée.</t>
  </si>
  <si>
    <t>Total</t>
  </si>
  <si>
    <t> Stock initial : 12</t>
  </si>
  <si>
    <t xml:space="preserve">Achats </t>
  </si>
  <si>
    <t>Modèle Hurricane</t>
  </si>
  <si>
    <t> Stock initial : 8</t>
  </si>
  <si>
    <t>Stock Moyen trimestriel 
= (SI +SF)/2</t>
  </si>
  <si>
    <t>Stock moyen sur l’année</t>
  </si>
  <si>
    <t>Rotation des stocks</t>
  </si>
  <si>
    <t>Durée moyenne de stockage en jours</t>
  </si>
  <si>
    <t>1. Réalisez une simulation du calcul des coûts de stockage pour 6, 12, 24 et 48 commandes dans l’année.</t>
  </si>
  <si>
    <t>Ressource Note du chef de rayon sur la référence de sac à dos</t>
  </si>
  <si>
    <t xml:space="preserve">Coût de passation d'une commande estimé par le contrôleur de gestion </t>
  </si>
  <si>
    <t>Coût de possession des stocks en % de la valeur du stock moyen.</t>
  </si>
  <si>
    <t xml:space="preserve">Ventes annuelles moyennes de ce produit  en unités : </t>
  </si>
  <si>
    <t>Nombre de commandes</t>
  </si>
  <si>
    <t>Quantité livrée</t>
  </si>
  <si>
    <t>Stock moyen en Q</t>
  </si>
  <si>
    <t>Stock moyen en valeur</t>
  </si>
  <si>
    <t>Coût de passation</t>
  </si>
  <si>
    <t>Coût de possession</t>
  </si>
  <si>
    <t>Coût total de stockage</t>
  </si>
  <si>
    <t xml:space="preserve"> simulation du calcul des coûts de stockage pour 6, 12, 24 et 48 commandes dans l’année.</t>
  </si>
  <si>
    <t xml:space="preserve">Coût d’achat unitaire : </t>
  </si>
  <si>
    <t>Exercice 5</t>
  </si>
  <si>
    <t>Ressource: Relevé des coûts d’achat d’une famille de produits</t>
  </si>
  <si>
    <t>Références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</si>
  <si>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</si>
  <si>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</si>
  <si>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</si>
  <si>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</si>
  <si>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</si>
  <si>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</si>
  <si>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</si>
  <si>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</si>
  <si>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</si>
  <si>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</si>
  <si>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Totaux</t>
  </si>
  <si>
    <t>Quantités achetées</t>
  </si>
  <si>
    <t>1 110</t>
  </si>
  <si>
    <t>4 000</t>
  </si>
  <si>
    <t>Coût d'achat unitaire</t>
  </si>
  <si>
    <t>Coût d'achat total</t>
  </si>
  <si>
    <t>4 160</t>
  </si>
  <si>
    <t>1 440</t>
  </si>
  <si>
    <t>6 500</t>
  </si>
  <si>
    <t>7 500</t>
  </si>
  <si>
    <t>2 000</t>
  </si>
  <si>
    <t>1 600</t>
  </si>
  <si>
    <t>1 650</t>
  </si>
  <si>
    <t>1. Analysez les stocks dans un tableau en utilisant la méthode des 20/80.</t>
  </si>
  <si>
    <t>Classement des références</t>
  </si>
  <si>
    <t>Quantité achetée</t>
  </si>
  <si>
    <t>% du coût d'achat total</t>
  </si>
  <si>
    <t>% cumulé du coût d'achat</t>
  </si>
  <si>
    <t>% du nombre de références</t>
  </si>
  <si>
    <t>% cumulé du nombre de références</t>
  </si>
  <si>
    <t>Exercice 6</t>
  </si>
  <si>
    <t>Rang</t>
  </si>
  <si>
    <t>N° référence</t>
  </si>
  <si>
    <t>Quantités  achetées</t>
  </si>
  <si>
    <t>% des quantités achetées</t>
  </si>
  <si>
    <t>TOTAUX</t>
  </si>
  <si>
    <t>1. Calculez le coût d’achat unitaire pour chacune des références.</t>
  </si>
  <si>
    <t>2. Calculez les % cumulés des coûts d'achat et les % cumulés des quantités achetées.</t>
  </si>
  <si>
    <t>% cumulés du coût d'achat</t>
  </si>
  <si>
    <t>% cumulés des quantités achetées</t>
  </si>
  <si>
    <t>3.    Classez les références du sous rayon en utilisant la méthode ABC</t>
  </si>
  <si>
    <t>Groupe A</t>
  </si>
  <si>
    <t>Groupe B</t>
  </si>
  <si>
    <t>Groupe C</t>
  </si>
  <si>
    <t>Références
concernées</t>
  </si>
  <si>
    <t>% cumulé des quantités achetées</t>
  </si>
  <si>
    <t>Exercice 7</t>
  </si>
  <si>
    <t>Ressource 1 Cadencier d’approvisionnement des volets Urba :</t>
  </si>
  <si>
    <t>Mars</t>
  </si>
  <si>
    <t>Avril</t>
  </si>
  <si>
    <t>Mai</t>
  </si>
  <si>
    <t>Juin</t>
  </si>
  <si>
    <t>Juillet</t>
  </si>
  <si>
    <t>Août</t>
  </si>
  <si>
    <t>Stock initial avant livraison</t>
  </si>
  <si>
    <t>Livraisons</t>
  </si>
  <si>
    <t>Stock initial après livraison</t>
  </si>
  <si>
    <t>Ressource 2 Coûts d’achat et de stockage des volets Urba</t>
  </si>
  <si>
    <t xml:space="preserve">Ressource 3 Offre du fournisseur </t>
  </si>
  <si>
    <t xml:space="preserve">Coût d’achat unitaire du volet Urba : </t>
  </si>
  <si>
    <t xml:space="preserve">Coût de passation d’une commande : </t>
  </si>
  <si>
    <t>Coût de possession des stocks en % de la valeur du stock moyen:</t>
  </si>
  <si>
    <t>Livraisons par quantités fixes en unités:</t>
  </si>
  <si>
    <t xml:space="preserve"> Remise en % sur le coût d’achat:</t>
  </si>
  <si>
    <t xml:space="preserve">2. Calculez le coût total de gestion du stock pour la situation actuelle. </t>
  </si>
  <si>
    <t>Stocks moyens mensuels</t>
  </si>
  <si>
    <t>Stock moyen mensuel = (Stock initial après livraison+ Stock final)/2</t>
  </si>
  <si>
    <t>Stock moyen semestriel</t>
  </si>
  <si>
    <t>Durée moyenne de stockage</t>
  </si>
  <si>
    <t>Stock Final</t>
  </si>
  <si>
    <t>Stock moyen mensuel</t>
  </si>
  <si>
    <t>jours</t>
  </si>
  <si>
    <t>TOTAL</t>
  </si>
  <si>
    <t>Rotation des stocks:</t>
  </si>
  <si>
    <t>Durée moyenne de stockage:</t>
  </si>
  <si>
    <t xml:space="preserve">1. Calculez les indicateurs de gestion de stocks pour la situation actuelle : </t>
  </si>
  <si>
    <t>les stocks moyens mensuels, le stock moyen semestriel, la rotation des stocks et la durée moyenne de stockage.</t>
  </si>
  <si>
    <t>3. Établissez le cadencier d’approvisionnement dans l’hypothèse où l'on retient l’offre du fournisseur.</t>
  </si>
  <si>
    <t xml:space="preserve">4. Calculez les indicateurs de gestion de stocks dans l’hypothèse où l'on retient l’offre du fournisseur. </t>
  </si>
  <si>
    <t>5. Calculez le coût total de gestion du stock si l'on retient l’offre du fournisseur. Concluez.</t>
  </si>
</sst>
</file>

<file path=xl/styles.xml><?xml version="1.0" encoding="utf-8"?>
<styleSheet xmlns="http://schemas.openxmlformats.org/spreadsheetml/2006/main">
  <numFmts count="4">
    <numFmt numFmtId="164" formatCode="0.0"/>
    <numFmt numFmtId="165" formatCode="#,##0.00\ &quot;€&quot;"/>
    <numFmt numFmtId="166" formatCode="#,##0\ &quot;€&quot;"/>
    <numFmt numFmtId="167" formatCode="_-* #,##0.00\ [$€-40C]_-;\-* #,##0.00\ [$€-40C]_-;_-* &quot;-&quot;??\ [$€-40C]_-;_-@_-"/>
  </numFmts>
  <fonts count="10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00FFFF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Fill="1"/>
    <xf numFmtId="0" fontId="4" fillId="2" borderId="0" xfId="0" applyFont="1" applyFill="1" applyAlignment="1">
      <alignment horizontal="left" vertical="center"/>
    </xf>
    <xf numFmtId="0" fontId="1" fillId="3" borderId="0" xfId="0" applyFont="1" applyFill="1"/>
    <xf numFmtId="0" fontId="2" fillId="0" borderId="1" xfId="0" applyFont="1" applyBorder="1" applyAlignment="1">
      <alignment vertical="center" wrapText="1"/>
    </xf>
    <xf numFmtId="0" fontId="1" fillId="4" borderId="0" xfId="0" applyFont="1" applyFill="1"/>
    <xf numFmtId="0" fontId="4" fillId="5" borderId="0" xfId="0" applyFont="1" applyFill="1" applyAlignment="1">
      <alignment horizontal="left" vertical="center"/>
    </xf>
    <xf numFmtId="0" fontId="2" fillId="4" borderId="0" xfId="0" applyFont="1" applyFill="1"/>
    <xf numFmtId="9" fontId="2" fillId="0" borderId="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5" borderId="0" xfId="0" applyFont="1" applyFill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10" fontId="3" fillId="0" borderId="0" xfId="1" applyNumberFormat="1" applyFont="1" applyBorder="1" applyAlignment="1">
      <alignment horizontal="center" vertical="center" wrapText="1"/>
    </xf>
    <xf numFmtId="10" fontId="2" fillId="0" borderId="0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6" borderId="0" xfId="0" applyFont="1" applyFill="1"/>
    <xf numFmtId="0" fontId="4" fillId="7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4" borderId="0" xfId="0" applyFont="1" applyFill="1"/>
    <xf numFmtId="0" fontId="1" fillId="5" borderId="0" xfId="0" applyFont="1" applyFill="1"/>
    <xf numFmtId="0" fontId="2" fillId="0" borderId="0" xfId="0" applyFont="1" applyBorder="1"/>
    <xf numFmtId="0" fontId="5" fillId="8" borderId="0" xfId="0" applyFont="1" applyFill="1"/>
    <xf numFmtId="0" fontId="4" fillId="9" borderId="0" xfId="0" applyFont="1" applyFill="1" applyAlignment="1">
      <alignment horizontal="left" vertical="center"/>
    </xf>
    <xf numFmtId="0" fontId="1" fillId="0" borderId="0" xfId="0" applyFont="1" applyFill="1"/>
    <xf numFmtId="0" fontId="2" fillId="0" borderId="1" xfId="0" applyFont="1" applyBorder="1" applyAlignment="1">
      <alignment horizontal="left" vertical="center" wrapText="1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/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4" fillId="3" borderId="0" xfId="0" applyFont="1" applyFill="1"/>
    <xf numFmtId="0" fontId="2" fillId="3" borderId="0" xfId="0" applyFont="1" applyFill="1"/>
    <xf numFmtId="0" fontId="3" fillId="5" borderId="0" xfId="0" applyFont="1" applyFill="1"/>
    <xf numFmtId="165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Font="1" applyBorder="1" applyAlignment="1">
      <alignment horizontal="justify" vertical="center"/>
    </xf>
    <xf numFmtId="0" fontId="0" fillId="0" borderId="1" xfId="0" applyFont="1" applyBorder="1" applyAlignment="1">
      <alignment horizontal="justify" vertical="center" wrapText="1"/>
    </xf>
    <xf numFmtId="10" fontId="9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 textRotation="90"/>
    </xf>
    <xf numFmtId="10" fontId="1" fillId="0" borderId="1" xfId="1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right" vertical="center"/>
    </xf>
    <xf numFmtId="0" fontId="1" fillId="5" borderId="0" xfId="0" applyFont="1" applyFill="1" applyBorder="1" applyAlignment="1">
      <alignment vertical="center"/>
    </xf>
    <xf numFmtId="10" fontId="3" fillId="5" borderId="0" xfId="1" applyNumberFormat="1" applyFont="1" applyFill="1" applyBorder="1" applyAlignment="1">
      <alignment horizontal="center" vertical="center" wrapText="1"/>
    </xf>
    <xf numFmtId="167" fontId="2" fillId="0" borderId="1" xfId="0" applyNumberFormat="1" applyFont="1" applyBorder="1"/>
    <xf numFmtId="9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10" fontId="2" fillId="0" borderId="1" xfId="1" applyNumberFormat="1" applyFont="1" applyBorder="1"/>
    <xf numFmtId="0" fontId="2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9" xfId="0" applyFont="1" applyBorder="1" applyAlignment="1">
      <alignment vertical="center"/>
    </xf>
    <xf numFmtId="2" fontId="1" fillId="0" borderId="6" xfId="0" applyNumberFormat="1" applyFont="1" applyBorder="1" applyAlignment="1">
      <alignment horizontal="center" vertical="center"/>
    </xf>
    <xf numFmtId="167" fontId="1" fillId="0" borderId="1" xfId="0" applyNumberFormat="1" applyFont="1" applyBorder="1"/>
    <xf numFmtId="167" fontId="1" fillId="0" borderId="1" xfId="0" applyNumberFormat="1" applyFont="1" applyBorder="1" applyAlignment="1">
      <alignment vertical="center"/>
    </xf>
    <xf numFmtId="2" fontId="4" fillId="0" borderId="6" xfId="0" applyNumberFormat="1" applyFont="1" applyBorder="1" applyAlignment="1">
      <alignment horizontal="center" vertical="center"/>
    </xf>
    <xf numFmtId="167" fontId="4" fillId="0" borderId="1" xfId="0" applyNumberFormat="1" applyFont="1" applyBorder="1"/>
    <xf numFmtId="167" fontId="4" fillId="0" borderId="1" xfId="0" applyNumberFormat="1" applyFont="1" applyBorder="1" applyAlignment="1">
      <alignment vertical="center"/>
    </xf>
    <xf numFmtId="0" fontId="4" fillId="0" borderId="0" xfId="0" applyFont="1" applyFill="1"/>
    <xf numFmtId="0" fontId="3" fillId="0" borderId="0" xfId="0" applyFont="1" applyFill="1"/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0" borderId="10" xfId="0" applyFont="1" applyBorder="1" applyAlignment="1">
      <alignment horizontal="left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00FF00"/>
      <color rgb="FF00FFFF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workbookViewId="0">
      <selection activeCell="A12" sqref="A12"/>
    </sheetView>
  </sheetViews>
  <sheetFormatPr baseColWidth="10" defaultRowHeight="15.75"/>
  <cols>
    <col min="1" max="1" width="17.7109375" style="2" customWidth="1"/>
    <col min="2" max="2" width="13" style="2" bestFit="1" customWidth="1"/>
    <col min="3" max="3" width="12" style="2" bestFit="1" customWidth="1"/>
    <col min="4" max="5" width="12.85546875" style="2" customWidth="1"/>
    <col min="6" max="6" width="11.5703125" style="2" bestFit="1" customWidth="1"/>
    <col min="7" max="7" width="8.28515625" style="2" customWidth="1"/>
    <col min="8" max="8" width="17.7109375" style="2" customWidth="1"/>
    <col min="9" max="12" width="12.28515625" style="2" customWidth="1"/>
    <col min="13" max="16384" width="11.42578125" style="2"/>
  </cols>
  <sheetData>
    <row r="1" spans="1:12">
      <c r="A1" s="23" t="s">
        <v>4</v>
      </c>
      <c r="B1" s="23"/>
      <c r="C1" s="45"/>
      <c r="D1" s="46"/>
    </row>
    <row r="2" spans="1:12">
      <c r="A2" s="24" t="s">
        <v>5</v>
      </c>
      <c r="B2" s="15"/>
      <c r="C2" s="15"/>
    </row>
    <row r="3" spans="1:12" s="3" customFormat="1"/>
    <row r="4" spans="1:12">
      <c r="A4" s="27" t="s">
        <v>16</v>
      </c>
      <c r="B4" s="12"/>
      <c r="C4" s="12"/>
      <c r="D4" s="12"/>
      <c r="E4" s="12"/>
      <c r="F4" s="12"/>
      <c r="G4" s="12"/>
    </row>
    <row r="5" spans="1:12" s="3" customFormat="1">
      <c r="A5" s="31"/>
    </row>
    <row r="6" spans="1:12" s="3" customFormat="1" ht="15.75" customHeight="1">
      <c r="A6" s="36"/>
      <c r="B6" s="37"/>
      <c r="C6" s="13" t="s">
        <v>9</v>
      </c>
      <c r="D6" s="13" t="s">
        <v>10</v>
      </c>
      <c r="E6" s="13" t="s">
        <v>11</v>
      </c>
      <c r="F6" s="13" t="s">
        <v>12</v>
      </c>
      <c r="G6" s="13" t="s">
        <v>17</v>
      </c>
    </row>
    <row r="7" spans="1:12" s="3" customFormat="1" ht="15.75" customHeight="1">
      <c r="A7" s="39" t="s">
        <v>8</v>
      </c>
      <c r="B7" s="35" t="s">
        <v>19</v>
      </c>
      <c r="C7" s="1">
        <v>24</v>
      </c>
      <c r="D7" s="1">
        <v>36</v>
      </c>
      <c r="E7" s="1">
        <v>8</v>
      </c>
      <c r="F7" s="1">
        <v>0</v>
      </c>
      <c r="G7" s="1">
        <v>68</v>
      </c>
    </row>
    <row r="8" spans="1:12" s="3" customFormat="1">
      <c r="A8" s="38" t="s">
        <v>18</v>
      </c>
      <c r="B8" s="35" t="s">
        <v>6</v>
      </c>
      <c r="C8" s="1">
        <v>16</v>
      </c>
      <c r="D8" s="1">
        <v>36</v>
      </c>
      <c r="E8" s="1">
        <v>12</v>
      </c>
      <c r="F8" s="1">
        <v>12</v>
      </c>
      <c r="G8" s="1">
        <v>76</v>
      </c>
    </row>
    <row r="9" spans="1:12" s="3" customFormat="1" ht="31.5">
      <c r="A9" s="39" t="s">
        <v>20</v>
      </c>
      <c r="B9" s="40" t="s">
        <v>13</v>
      </c>
      <c r="C9" s="1">
        <v>12</v>
      </c>
      <c r="D9" s="1">
        <v>22</v>
      </c>
      <c r="E9" s="1">
        <v>6</v>
      </c>
      <c r="F9" s="1">
        <v>8</v>
      </c>
      <c r="G9" s="1">
        <v>48</v>
      </c>
    </row>
    <row r="10" spans="1:12" s="3" customFormat="1">
      <c r="A10" s="38" t="s">
        <v>21</v>
      </c>
      <c r="B10" s="40" t="s">
        <v>6</v>
      </c>
      <c r="C10" s="1">
        <v>10</v>
      </c>
      <c r="D10" s="1">
        <v>24</v>
      </c>
      <c r="E10" s="1">
        <v>11</v>
      </c>
      <c r="F10" s="1">
        <v>9</v>
      </c>
      <c r="G10" s="1">
        <v>54</v>
      </c>
    </row>
    <row r="11" spans="1:12" s="3" customFormat="1"/>
    <row r="12" spans="1:12" s="28" customFormat="1">
      <c r="A12" s="25" t="s">
        <v>7</v>
      </c>
      <c r="B12" s="26"/>
      <c r="C12" s="26"/>
      <c r="D12" s="33"/>
      <c r="E12" s="33"/>
      <c r="F12" s="34"/>
      <c r="G12" s="34"/>
      <c r="H12" s="34"/>
      <c r="I12" s="34"/>
    </row>
    <row r="14" spans="1:12">
      <c r="A14" s="16" t="s">
        <v>8</v>
      </c>
      <c r="B14" s="13" t="s">
        <v>9</v>
      </c>
      <c r="C14" s="13" t="s">
        <v>10</v>
      </c>
      <c r="D14" s="13" t="s">
        <v>11</v>
      </c>
      <c r="E14" s="13" t="s">
        <v>12</v>
      </c>
      <c r="H14" s="16" t="s">
        <v>15</v>
      </c>
      <c r="I14" s="13" t="s">
        <v>9</v>
      </c>
      <c r="J14" s="13" t="s">
        <v>10</v>
      </c>
      <c r="K14" s="13" t="s">
        <v>11</v>
      </c>
      <c r="L14" s="13" t="s">
        <v>12</v>
      </c>
    </row>
    <row r="15" spans="1:12" ht="27.75" customHeight="1">
      <c r="A15" s="6" t="s">
        <v>1</v>
      </c>
      <c r="B15" s="1"/>
      <c r="C15" s="1"/>
      <c r="D15" s="1"/>
      <c r="E15" s="1"/>
      <c r="H15" s="6" t="s">
        <v>1</v>
      </c>
      <c r="I15" s="1"/>
      <c r="J15" s="1"/>
      <c r="K15" s="1"/>
      <c r="L15" s="1"/>
    </row>
    <row r="16" spans="1:12" ht="27.75" customHeight="1">
      <c r="A16" s="6" t="s">
        <v>13</v>
      </c>
      <c r="B16" s="1"/>
      <c r="C16" s="1"/>
      <c r="D16" s="1"/>
      <c r="E16" s="1"/>
      <c r="H16" s="6" t="s">
        <v>13</v>
      </c>
      <c r="I16" s="1"/>
      <c r="J16" s="1"/>
      <c r="K16" s="1"/>
      <c r="L16" s="1"/>
    </row>
    <row r="17" spans="1:12" ht="27.75" customHeight="1">
      <c r="A17" s="6" t="s">
        <v>6</v>
      </c>
      <c r="B17" s="1"/>
      <c r="C17" s="1"/>
      <c r="D17" s="1"/>
      <c r="E17" s="1"/>
      <c r="H17" s="6" t="s">
        <v>6</v>
      </c>
      <c r="I17" s="1"/>
      <c r="J17" s="1"/>
      <c r="K17" s="1"/>
      <c r="L17" s="1"/>
    </row>
    <row r="18" spans="1:12" ht="27.75" customHeight="1">
      <c r="A18" s="6" t="s">
        <v>0</v>
      </c>
      <c r="B18" s="1"/>
      <c r="C18" s="1"/>
      <c r="D18" s="1"/>
      <c r="E18" s="1"/>
      <c r="H18" s="6" t="s">
        <v>0</v>
      </c>
      <c r="I18" s="1"/>
      <c r="J18" s="1"/>
      <c r="K18" s="1"/>
      <c r="L18" s="1"/>
    </row>
    <row r="19" spans="1:12" ht="48" customHeight="1">
      <c r="A19" s="14" t="s">
        <v>22</v>
      </c>
      <c r="B19" s="1"/>
      <c r="C19" s="1"/>
      <c r="D19" s="1"/>
      <c r="E19" s="1"/>
      <c r="H19" s="14" t="s">
        <v>14</v>
      </c>
      <c r="I19" s="1"/>
      <c r="J19" s="1"/>
      <c r="K19" s="1"/>
      <c r="L19" s="1"/>
    </row>
    <row r="21" spans="1:12" ht="31.5">
      <c r="A21" s="43" t="s">
        <v>23</v>
      </c>
      <c r="B21" s="1"/>
      <c r="H21" s="44" t="s">
        <v>23</v>
      </c>
      <c r="I21" s="1"/>
    </row>
    <row r="22" spans="1:12" ht="31.5">
      <c r="A22" s="43" t="s">
        <v>24</v>
      </c>
      <c r="B22" s="1"/>
      <c r="H22" s="44" t="s">
        <v>24</v>
      </c>
      <c r="I22" s="41"/>
    </row>
    <row r="23" spans="1:12" ht="47.25">
      <c r="A23" s="43" t="s">
        <v>25</v>
      </c>
      <c r="B23" s="42"/>
      <c r="H23" s="43" t="s">
        <v>25</v>
      </c>
      <c r="I23" s="42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7"/>
  <sheetViews>
    <sheetView topLeftCell="A4" workbookViewId="0">
      <selection activeCell="G9" sqref="G9"/>
    </sheetView>
  </sheetViews>
  <sheetFormatPr baseColWidth="10" defaultRowHeight="15.75"/>
  <cols>
    <col min="1" max="1" width="38.85546875" style="2" customWidth="1"/>
    <col min="2" max="8" width="14.85546875" style="2" customWidth="1"/>
    <col min="9" max="9" width="16.28515625" style="2" customWidth="1"/>
    <col min="10" max="16384" width="11.42578125" style="2"/>
  </cols>
  <sheetData>
    <row r="1" spans="1:10">
      <c r="A1" s="23" t="s">
        <v>4</v>
      </c>
      <c r="B1" s="5"/>
      <c r="C1" s="5"/>
      <c r="D1" s="3"/>
      <c r="E1" s="3"/>
    </row>
    <row r="2" spans="1:10">
      <c r="A2" s="24" t="s">
        <v>3</v>
      </c>
      <c r="B2" s="3"/>
      <c r="C2" s="3"/>
    </row>
    <row r="3" spans="1:10">
      <c r="A3" s="15"/>
      <c r="B3" s="10"/>
      <c r="C3" s="10"/>
      <c r="D3" s="10"/>
    </row>
    <row r="4" spans="1:10">
      <c r="A4" s="29" t="s">
        <v>26</v>
      </c>
      <c r="B4" s="29"/>
      <c r="C4" s="29"/>
      <c r="D4" s="29"/>
      <c r="E4" s="29"/>
      <c r="F4" s="29"/>
      <c r="G4" s="29"/>
      <c r="H4" s="15"/>
      <c r="I4" s="15"/>
      <c r="J4" s="3"/>
    </row>
    <row r="5" spans="1:10">
      <c r="A5" s="15"/>
      <c r="B5" s="15"/>
      <c r="C5" s="15"/>
      <c r="D5" s="15"/>
      <c r="E5" s="15"/>
      <c r="F5" s="15"/>
      <c r="G5" s="15"/>
      <c r="H5" s="15"/>
      <c r="I5" s="15"/>
    </row>
    <row r="6" spans="1:10">
      <c r="A6" s="30" t="s">
        <v>27</v>
      </c>
      <c r="B6" s="47"/>
      <c r="C6" s="47"/>
      <c r="D6" s="47"/>
      <c r="E6" s="15"/>
    </row>
    <row r="7" spans="1:10">
      <c r="A7" s="88" t="s">
        <v>30</v>
      </c>
      <c r="B7" s="89"/>
      <c r="C7" s="1">
        <v>720</v>
      </c>
    </row>
    <row r="8" spans="1:10">
      <c r="A8" s="88" t="s">
        <v>39</v>
      </c>
      <c r="B8" s="89"/>
      <c r="C8" s="50">
        <v>15</v>
      </c>
    </row>
    <row r="9" spans="1:10" ht="30.75" customHeight="1">
      <c r="A9" s="87" t="s">
        <v>28</v>
      </c>
      <c r="B9" s="87"/>
      <c r="C9" s="50">
        <v>4</v>
      </c>
    </row>
    <row r="10" spans="1:10" ht="30.75" customHeight="1">
      <c r="A10" s="87" t="s">
        <v>29</v>
      </c>
      <c r="B10" s="87"/>
      <c r="C10" s="51">
        <v>0.08</v>
      </c>
    </row>
    <row r="12" spans="1:10">
      <c r="A12" s="29" t="s">
        <v>38</v>
      </c>
      <c r="B12" s="9"/>
      <c r="C12" s="9"/>
      <c r="D12" s="9"/>
      <c r="E12" s="9"/>
    </row>
    <row r="13" spans="1:10" ht="31.5">
      <c r="B13" s="16" t="s">
        <v>31</v>
      </c>
      <c r="C13" s="16" t="s">
        <v>32</v>
      </c>
      <c r="D13" s="16" t="s">
        <v>33</v>
      </c>
      <c r="E13" s="16" t="s">
        <v>34</v>
      </c>
      <c r="F13" s="16" t="s">
        <v>35</v>
      </c>
      <c r="G13" s="16" t="s">
        <v>36</v>
      </c>
      <c r="H13" s="16" t="s">
        <v>37</v>
      </c>
    </row>
    <row r="14" spans="1:10" ht="28.5" customHeight="1">
      <c r="B14" s="11">
        <v>6</v>
      </c>
      <c r="C14" s="11"/>
      <c r="D14" s="11"/>
      <c r="E14" s="48"/>
      <c r="F14" s="49"/>
      <c r="G14" s="48"/>
      <c r="H14" s="48"/>
    </row>
    <row r="15" spans="1:10" ht="28.5" customHeight="1">
      <c r="B15" s="11">
        <v>12</v>
      </c>
      <c r="C15" s="11"/>
      <c r="D15" s="11"/>
      <c r="E15" s="48"/>
      <c r="F15" s="49"/>
      <c r="G15" s="48"/>
      <c r="H15" s="48"/>
    </row>
    <row r="16" spans="1:10" ht="28.5" customHeight="1">
      <c r="B16" s="11">
        <v>24</v>
      </c>
      <c r="C16" s="11"/>
      <c r="D16" s="11"/>
      <c r="E16" s="48"/>
      <c r="F16" s="49"/>
      <c r="G16" s="48"/>
      <c r="H16" s="48"/>
    </row>
    <row r="17" spans="2:8" ht="28.5" customHeight="1">
      <c r="B17" s="11">
        <v>48</v>
      </c>
      <c r="C17" s="11"/>
      <c r="D17" s="11"/>
      <c r="E17" s="48"/>
      <c r="F17" s="49"/>
      <c r="G17" s="48"/>
      <c r="H17" s="48"/>
    </row>
  </sheetData>
  <mergeCells count="4">
    <mergeCell ref="A9:B9"/>
    <mergeCell ref="A10:B10"/>
    <mergeCell ref="A8:B8"/>
    <mergeCell ref="A7:B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7"/>
  <sheetViews>
    <sheetView topLeftCell="A7" workbookViewId="0">
      <selection activeCell="F28" sqref="F28"/>
    </sheetView>
  </sheetViews>
  <sheetFormatPr baseColWidth="10" defaultRowHeight="15.75"/>
  <cols>
    <col min="1" max="1" width="13.85546875" style="2" customWidth="1"/>
    <col min="2" max="12" width="10.7109375" style="2" customWidth="1"/>
    <col min="13" max="13" width="11.42578125" style="2"/>
    <col min="14" max="14" width="14" style="2" customWidth="1"/>
    <col min="15" max="16384" width="11.42578125" style="2"/>
  </cols>
  <sheetData>
    <row r="1" spans="1:14">
      <c r="A1" s="23" t="s">
        <v>4</v>
      </c>
      <c r="B1" s="23"/>
      <c r="C1" s="5"/>
      <c r="D1" s="46"/>
      <c r="E1" s="46"/>
    </row>
    <row r="2" spans="1:14">
      <c r="A2" s="4" t="s">
        <v>40</v>
      </c>
      <c r="B2" s="3"/>
      <c r="C2" s="3"/>
    </row>
    <row r="4" spans="1:14">
      <c r="A4" s="8" t="s">
        <v>41</v>
      </c>
      <c r="B4" s="12"/>
      <c r="C4" s="12"/>
      <c r="D4" s="12"/>
      <c r="E4" s="12"/>
      <c r="F4" s="12"/>
    </row>
    <row r="6" spans="1:14" ht="33" customHeight="1">
      <c r="A6" s="57" t="s">
        <v>42</v>
      </c>
      <c r="B6" s="54" t="s">
        <v>43</v>
      </c>
      <c r="C6" s="54" t="s">
        <v>44</v>
      </c>
      <c r="D6" s="54" t="s">
        <v>45</v>
      </c>
      <c r="E6" s="54" t="s">
        <v>46</v>
      </c>
      <c r="F6" s="54" t="s">
        <v>47</v>
      </c>
      <c r="G6" s="54" t="s">
        <v>48</v>
      </c>
      <c r="H6" s="54" t="s">
        <v>49</v>
      </c>
      <c r="I6" s="54" t="s">
        <v>50</v>
      </c>
      <c r="J6" s="54" t="s">
        <v>51</v>
      </c>
      <c r="K6" s="54" t="s">
        <v>52</v>
      </c>
      <c r="L6" s="54" t="s">
        <v>53</v>
      </c>
    </row>
    <row r="7" spans="1:14" ht="30">
      <c r="A7" s="58" t="s">
        <v>54</v>
      </c>
      <c r="B7" s="54">
        <v>260</v>
      </c>
      <c r="C7" s="54">
        <v>480</v>
      </c>
      <c r="D7" s="54" t="s">
        <v>55</v>
      </c>
      <c r="E7" s="54">
        <v>250</v>
      </c>
      <c r="F7" s="54">
        <v>150</v>
      </c>
      <c r="G7" s="54">
        <v>400</v>
      </c>
      <c r="H7" s="54">
        <v>260</v>
      </c>
      <c r="I7" s="54">
        <v>400</v>
      </c>
      <c r="J7" s="54">
        <v>140</v>
      </c>
      <c r="K7" s="54">
        <v>550</v>
      </c>
      <c r="L7" s="54" t="s">
        <v>56</v>
      </c>
    </row>
    <row r="8" spans="1:14" ht="30">
      <c r="A8" s="58" t="s">
        <v>57</v>
      </c>
      <c r="B8" s="54">
        <v>16</v>
      </c>
      <c r="C8" s="54">
        <v>3</v>
      </c>
      <c r="D8" s="54">
        <v>1</v>
      </c>
      <c r="E8" s="54">
        <v>26</v>
      </c>
      <c r="F8" s="54">
        <v>50</v>
      </c>
      <c r="G8" s="54">
        <v>5</v>
      </c>
      <c r="H8" s="54">
        <v>90</v>
      </c>
      <c r="I8" s="54">
        <v>4</v>
      </c>
      <c r="J8" s="54">
        <v>76</v>
      </c>
      <c r="K8" s="54">
        <v>3</v>
      </c>
      <c r="L8" s="55"/>
    </row>
    <row r="9" spans="1:14" ht="30">
      <c r="A9" s="58" t="s">
        <v>58</v>
      </c>
      <c r="B9" s="54" t="s">
        <v>59</v>
      </c>
      <c r="C9" s="54" t="s">
        <v>60</v>
      </c>
      <c r="D9" s="54" t="s">
        <v>55</v>
      </c>
      <c r="E9" s="54" t="s">
        <v>61</v>
      </c>
      <c r="F9" s="54" t="s">
        <v>62</v>
      </c>
      <c r="G9" s="54" t="s">
        <v>63</v>
      </c>
      <c r="H9" s="54">
        <v>23400</v>
      </c>
      <c r="I9" s="54" t="s">
        <v>64</v>
      </c>
      <c r="J9" s="54">
        <v>10640</v>
      </c>
      <c r="K9" s="54" t="s">
        <v>65</v>
      </c>
      <c r="L9" s="54">
        <v>60000</v>
      </c>
    </row>
    <row r="10" spans="1:14">
      <c r="A10" s="18"/>
      <c r="B10" s="19"/>
      <c r="C10" s="19"/>
      <c r="D10" s="19"/>
      <c r="E10" s="19"/>
      <c r="F10" s="19"/>
      <c r="G10" s="19"/>
      <c r="H10" s="20"/>
    </row>
    <row r="11" spans="1:14">
      <c r="A11" s="7" t="s">
        <v>66</v>
      </c>
      <c r="B11" s="9"/>
      <c r="C11" s="9"/>
      <c r="D11" s="9"/>
      <c r="E11" s="9"/>
      <c r="F11" s="9"/>
      <c r="G11" s="9"/>
    </row>
    <row r="12" spans="1:14" ht="47.25">
      <c r="A12" s="100" t="s">
        <v>67</v>
      </c>
      <c r="B12" s="100"/>
      <c r="C12" s="16" t="s">
        <v>68</v>
      </c>
      <c r="D12" s="100" t="s">
        <v>57</v>
      </c>
      <c r="E12" s="100"/>
      <c r="F12" s="100" t="s">
        <v>58</v>
      </c>
      <c r="G12" s="100"/>
      <c r="H12" s="100" t="s">
        <v>69</v>
      </c>
      <c r="I12" s="100"/>
      <c r="J12" s="100" t="s">
        <v>70</v>
      </c>
      <c r="K12" s="100"/>
      <c r="L12" s="100" t="s">
        <v>71</v>
      </c>
      <c r="M12" s="100"/>
      <c r="N12" s="16" t="s">
        <v>72</v>
      </c>
    </row>
    <row r="13" spans="1:14" ht="19.5" customHeight="1">
      <c r="A13" s="1">
        <v>1</v>
      </c>
      <c r="B13" s="1"/>
      <c r="C13" s="1"/>
      <c r="D13" s="90"/>
      <c r="E13" s="90"/>
      <c r="F13" s="90"/>
      <c r="G13" s="90"/>
      <c r="H13" s="91"/>
      <c r="I13" s="91"/>
      <c r="J13" s="97"/>
      <c r="K13" s="90"/>
      <c r="L13" s="91"/>
      <c r="M13" s="91"/>
      <c r="N13" s="17"/>
    </row>
    <row r="14" spans="1:14" ht="19.5" customHeight="1">
      <c r="A14" s="1">
        <v>2</v>
      </c>
      <c r="B14" s="1"/>
      <c r="C14" s="1"/>
      <c r="D14" s="90"/>
      <c r="E14" s="90"/>
      <c r="F14" s="90"/>
      <c r="G14" s="90"/>
      <c r="H14" s="91"/>
      <c r="I14" s="91"/>
      <c r="J14" s="97"/>
      <c r="K14" s="90"/>
      <c r="L14" s="91"/>
      <c r="M14" s="91"/>
      <c r="N14" s="17"/>
    </row>
    <row r="15" spans="1:14" ht="19.5" customHeight="1">
      <c r="A15" s="1">
        <v>3</v>
      </c>
      <c r="B15" s="1"/>
      <c r="C15" s="1"/>
      <c r="D15" s="90"/>
      <c r="E15" s="90"/>
      <c r="F15" s="90"/>
      <c r="G15" s="90"/>
      <c r="H15" s="91"/>
      <c r="I15" s="91"/>
      <c r="J15" s="97"/>
      <c r="K15" s="90"/>
      <c r="L15" s="91"/>
      <c r="M15" s="91"/>
      <c r="N15" s="17"/>
    </row>
    <row r="16" spans="1:14" ht="19.5" customHeight="1">
      <c r="A16" s="1">
        <v>4</v>
      </c>
      <c r="B16" s="1"/>
      <c r="C16" s="1"/>
      <c r="D16" s="90"/>
      <c r="E16" s="90"/>
      <c r="F16" s="90"/>
      <c r="G16" s="90"/>
      <c r="H16" s="91"/>
      <c r="I16" s="91"/>
      <c r="J16" s="98"/>
      <c r="K16" s="99"/>
      <c r="L16" s="91"/>
      <c r="M16" s="91"/>
      <c r="N16" s="59"/>
    </row>
    <row r="17" spans="1:14" ht="19.5" customHeight="1">
      <c r="A17" s="1">
        <v>5</v>
      </c>
      <c r="B17" s="1"/>
      <c r="C17" s="1"/>
      <c r="D17" s="90"/>
      <c r="E17" s="90"/>
      <c r="F17" s="90"/>
      <c r="G17" s="90"/>
      <c r="H17" s="91"/>
      <c r="I17" s="91"/>
      <c r="J17" s="97"/>
      <c r="K17" s="90"/>
      <c r="L17" s="91"/>
      <c r="M17" s="91"/>
      <c r="N17" s="17"/>
    </row>
    <row r="18" spans="1:14" ht="19.5" customHeight="1">
      <c r="A18" s="1">
        <v>6</v>
      </c>
      <c r="B18" s="1"/>
      <c r="C18" s="1"/>
      <c r="D18" s="90"/>
      <c r="E18" s="90"/>
      <c r="F18" s="90"/>
      <c r="G18" s="90"/>
      <c r="H18" s="91"/>
      <c r="I18" s="91"/>
      <c r="J18" s="97"/>
      <c r="K18" s="90"/>
      <c r="L18" s="91"/>
      <c r="M18" s="91"/>
      <c r="N18" s="17"/>
    </row>
    <row r="19" spans="1:14" ht="19.5" customHeight="1">
      <c r="A19" s="1">
        <v>7</v>
      </c>
      <c r="B19" s="1"/>
      <c r="C19" s="1"/>
      <c r="D19" s="90"/>
      <c r="E19" s="90"/>
      <c r="F19" s="90"/>
      <c r="G19" s="90"/>
      <c r="H19" s="91"/>
      <c r="I19" s="91"/>
      <c r="J19" s="97"/>
      <c r="K19" s="90"/>
      <c r="L19" s="91"/>
      <c r="M19" s="91"/>
      <c r="N19" s="17"/>
    </row>
    <row r="20" spans="1:14" ht="19.5" customHeight="1">
      <c r="A20" s="1">
        <v>8</v>
      </c>
      <c r="B20" s="1"/>
      <c r="C20" s="1"/>
      <c r="D20" s="90"/>
      <c r="E20" s="90"/>
      <c r="F20" s="90"/>
      <c r="G20" s="90"/>
      <c r="H20" s="91"/>
      <c r="I20" s="91"/>
      <c r="J20" s="97"/>
      <c r="K20" s="90"/>
      <c r="L20" s="91"/>
      <c r="M20" s="91"/>
      <c r="N20" s="17"/>
    </row>
    <row r="21" spans="1:14" ht="19.5" customHeight="1">
      <c r="A21" s="1">
        <v>9</v>
      </c>
      <c r="B21" s="1"/>
      <c r="C21" s="1"/>
      <c r="D21" s="90"/>
      <c r="E21" s="90"/>
      <c r="F21" s="90"/>
      <c r="G21" s="90"/>
      <c r="H21" s="91"/>
      <c r="I21" s="91"/>
      <c r="J21" s="97"/>
      <c r="K21" s="90"/>
      <c r="L21" s="91"/>
      <c r="M21" s="91"/>
      <c r="N21" s="17"/>
    </row>
    <row r="22" spans="1:14" ht="19.5" customHeight="1">
      <c r="A22" s="1">
        <v>10</v>
      </c>
      <c r="B22" s="1"/>
      <c r="C22" s="1"/>
      <c r="D22" s="90"/>
      <c r="E22" s="90"/>
      <c r="F22" s="90"/>
      <c r="G22" s="90"/>
      <c r="H22" s="91"/>
      <c r="I22" s="91"/>
      <c r="J22" s="97"/>
      <c r="K22" s="90"/>
      <c r="L22" s="91"/>
      <c r="M22" s="91"/>
      <c r="N22" s="17"/>
    </row>
    <row r="23" spans="1:14">
      <c r="A23" s="93" t="s">
        <v>53</v>
      </c>
      <c r="B23" s="94"/>
      <c r="C23" s="1"/>
      <c r="D23" s="95"/>
      <c r="E23" s="96"/>
      <c r="F23" s="90"/>
      <c r="G23" s="90"/>
      <c r="H23" s="91"/>
      <c r="I23" s="91"/>
      <c r="J23" s="92"/>
      <c r="K23" s="92"/>
      <c r="L23" s="91"/>
      <c r="M23" s="91"/>
    </row>
    <row r="24" spans="1:14">
      <c r="B24" s="21"/>
    </row>
    <row r="25" spans="1:14">
      <c r="B25" s="21"/>
    </row>
    <row r="26" spans="1:14">
      <c r="B26" s="21"/>
    </row>
    <row r="27" spans="1:14">
      <c r="B27" s="22"/>
    </row>
  </sheetData>
  <mergeCells count="62">
    <mergeCell ref="L12:M12"/>
    <mergeCell ref="A12:B12"/>
    <mergeCell ref="D12:E12"/>
    <mergeCell ref="F12:G12"/>
    <mergeCell ref="H12:I12"/>
    <mergeCell ref="J12:K12"/>
    <mergeCell ref="D14:E14"/>
    <mergeCell ref="F14:G14"/>
    <mergeCell ref="H14:I14"/>
    <mergeCell ref="J14:K14"/>
    <mergeCell ref="L14:M14"/>
    <mergeCell ref="D13:E13"/>
    <mergeCell ref="F13:G13"/>
    <mergeCell ref="H13:I13"/>
    <mergeCell ref="J13:K13"/>
    <mergeCell ref="L13:M13"/>
    <mergeCell ref="D16:E16"/>
    <mergeCell ref="F16:G16"/>
    <mergeCell ref="H16:I16"/>
    <mergeCell ref="J16:K16"/>
    <mergeCell ref="L16:M16"/>
    <mergeCell ref="D15:E15"/>
    <mergeCell ref="F15:G15"/>
    <mergeCell ref="H15:I15"/>
    <mergeCell ref="J15:K15"/>
    <mergeCell ref="L15:M15"/>
    <mergeCell ref="D18:E18"/>
    <mergeCell ref="F18:G18"/>
    <mergeCell ref="H18:I18"/>
    <mergeCell ref="J18:K18"/>
    <mergeCell ref="L18:M18"/>
    <mergeCell ref="D17:E17"/>
    <mergeCell ref="F17:G17"/>
    <mergeCell ref="H17:I17"/>
    <mergeCell ref="J17:K17"/>
    <mergeCell ref="L17:M17"/>
    <mergeCell ref="D20:E20"/>
    <mergeCell ref="F20:G20"/>
    <mergeCell ref="H20:I20"/>
    <mergeCell ref="J20:K20"/>
    <mergeCell ref="L20:M20"/>
    <mergeCell ref="D19:E19"/>
    <mergeCell ref="F19:G19"/>
    <mergeCell ref="H19:I19"/>
    <mergeCell ref="J19:K19"/>
    <mergeCell ref="L19:M19"/>
    <mergeCell ref="D22:E22"/>
    <mergeCell ref="F22:G22"/>
    <mergeCell ref="H22:I22"/>
    <mergeCell ref="J22:K22"/>
    <mergeCell ref="L22:M22"/>
    <mergeCell ref="D21:E21"/>
    <mergeCell ref="F21:G21"/>
    <mergeCell ref="H21:I21"/>
    <mergeCell ref="J21:K21"/>
    <mergeCell ref="L21:M21"/>
    <mergeCell ref="F23:G23"/>
    <mergeCell ref="H23:I23"/>
    <mergeCell ref="J23:K23"/>
    <mergeCell ref="L23:M23"/>
    <mergeCell ref="A23:B23"/>
    <mergeCell ref="D23:E2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8"/>
  <sheetViews>
    <sheetView workbookViewId="0">
      <selection activeCell="H36" sqref="H36"/>
    </sheetView>
  </sheetViews>
  <sheetFormatPr baseColWidth="10" defaultRowHeight="15.75"/>
  <cols>
    <col min="1" max="1" width="10.7109375" style="2" customWidth="1"/>
    <col min="2" max="2" width="14.140625" style="2" bestFit="1" customWidth="1"/>
    <col min="3" max="3" width="10.7109375" style="2" customWidth="1"/>
    <col min="4" max="4" width="13.28515625" style="2" customWidth="1"/>
    <col min="5" max="12" width="10.7109375" style="2" customWidth="1"/>
    <col min="13" max="13" width="11.42578125" style="2"/>
    <col min="14" max="14" width="14" style="2" customWidth="1"/>
    <col min="15" max="16384" width="11.42578125" style="2"/>
  </cols>
  <sheetData>
    <row r="1" spans="1:6">
      <c r="A1" s="23" t="s">
        <v>4</v>
      </c>
      <c r="B1" s="23"/>
      <c r="C1" s="5"/>
      <c r="D1" s="46"/>
      <c r="E1" s="46"/>
    </row>
    <row r="2" spans="1:6">
      <c r="A2" s="4" t="s">
        <v>73</v>
      </c>
      <c r="B2" s="3"/>
      <c r="C2" s="3"/>
    </row>
    <row r="4" spans="1:6">
      <c r="A4" s="8" t="s">
        <v>41</v>
      </c>
      <c r="B4" s="12"/>
      <c r="C4" s="12"/>
      <c r="D4" s="12"/>
      <c r="E4" s="12"/>
      <c r="F4" s="12"/>
    </row>
    <row r="6" spans="1:6" ht="66">
      <c r="A6" s="60" t="s">
        <v>74</v>
      </c>
      <c r="B6" s="60" t="s">
        <v>75</v>
      </c>
      <c r="C6" s="61" t="s">
        <v>76</v>
      </c>
      <c r="D6" s="61" t="s">
        <v>58</v>
      </c>
      <c r="E6" s="61" t="s">
        <v>69</v>
      </c>
      <c r="F6" s="61" t="s">
        <v>77</v>
      </c>
    </row>
    <row r="7" spans="1:6">
      <c r="A7" s="62">
        <v>1</v>
      </c>
      <c r="B7" s="62" t="s">
        <v>49</v>
      </c>
      <c r="C7" s="62">
        <v>126</v>
      </c>
      <c r="D7" s="1">
        <v>15372</v>
      </c>
      <c r="E7" s="63">
        <v>0.37264822172714646</v>
      </c>
      <c r="F7" s="63">
        <v>5.4427645788336934E-2</v>
      </c>
    </row>
    <row r="8" spans="1:6">
      <c r="A8" s="62">
        <v>2</v>
      </c>
      <c r="B8" s="62" t="s">
        <v>47</v>
      </c>
      <c r="C8" s="62">
        <v>108</v>
      </c>
      <c r="D8" s="1">
        <v>9363.6</v>
      </c>
      <c r="E8" s="63">
        <v>0.2269925116422267</v>
      </c>
      <c r="F8" s="63">
        <v>4.6652267818574511E-2</v>
      </c>
    </row>
    <row r="9" spans="1:6">
      <c r="A9" s="62">
        <v>3</v>
      </c>
      <c r="B9" s="62" t="s">
        <v>45</v>
      </c>
      <c r="C9" s="62">
        <v>345</v>
      </c>
      <c r="D9" s="1">
        <v>4657.5</v>
      </c>
      <c r="E9" s="63">
        <v>0.11290717490854701</v>
      </c>
      <c r="F9" s="63">
        <v>0.14902807775377969</v>
      </c>
    </row>
    <row r="10" spans="1:6">
      <c r="A10" s="62">
        <v>4</v>
      </c>
      <c r="B10" s="62" t="s">
        <v>43</v>
      </c>
      <c r="C10" s="62">
        <v>218</v>
      </c>
      <c r="D10" s="1">
        <v>3313.6</v>
      </c>
      <c r="E10" s="63">
        <v>8.0328333822213924E-2</v>
      </c>
      <c r="F10" s="63">
        <v>9.4168466522678185E-2</v>
      </c>
    </row>
    <row r="11" spans="1:6">
      <c r="A11" s="62">
        <v>5</v>
      </c>
      <c r="B11" s="62" t="s">
        <v>48</v>
      </c>
      <c r="C11" s="62">
        <v>186</v>
      </c>
      <c r="D11" s="1">
        <v>2566.8000000000002</v>
      </c>
      <c r="E11" s="63">
        <v>6.2224398616265914E-2</v>
      </c>
      <c r="F11" s="63">
        <v>8.0345572354211664E-2</v>
      </c>
    </row>
    <row r="12" spans="1:6">
      <c r="A12" s="62">
        <v>6</v>
      </c>
      <c r="B12" s="62" t="s">
        <v>50</v>
      </c>
      <c r="C12" s="62">
        <v>180</v>
      </c>
      <c r="D12" s="1">
        <v>1890</v>
      </c>
      <c r="E12" s="63">
        <v>4.5817404310714731E-2</v>
      </c>
      <c r="F12" s="63">
        <v>7.775377969762419E-2</v>
      </c>
    </row>
    <row r="13" spans="1:6">
      <c r="A13" s="62">
        <v>7</v>
      </c>
      <c r="B13" s="62" t="s">
        <v>44</v>
      </c>
      <c r="C13" s="62">
        <v>552</v>
      </c>
      <c r="D13" s="1">
        <v>1987.2</v>
      </c>
      <c r="E13" s="63">
        <v>4.8173727960980059E-2</v>
      </c>
      <c r="F13" s="63">
        <v>0.2384449244060475</v>
      </c>
    </row>
    <row r="14" spans="1:6">
      <c r="A14" s="62">
        <v>8</v>
      </c>
      <c r="B14" s="62" t="s">
        <v>46</v>
      </c>
      <c r="C14" s="62">
        <v>524</v>
      </c>
      <c r="D14" s="1">
        <v>2100</v>
      </c>
      <c r="E14" s="63">
        <v>5.0908227011905255E-2</v>
      </c>
      <c r="F14" s="63">
        <v>0.25917926565874733</v>
      </c>
    </row>
    <row r="15" spans="1:6">
      <c r="A15" s="101" t="s">
        <v>78</v>
      </c>
      <c r="B15" s="101"/>
      <c r="C15" s="62">
        <v>2714</v>
      </c>
      <c r="D15" s="1">
        <v>41250.699999999997</v>
      </c>
      <c r="E15" s="63">
        <v>1</v>
      </c>
      <c r="F15" s="63">
        <v>1</v>
      </c>
    </row>
    <row r="17" spans="1:9">
      <c r="A17" s="18"/>
      <c r="B17" s="19"/>
      <c r="C17" s="19"/>
      <c r="D17" s="19"/>
      <c r="E17" s="19"/>
      <c r="F17" s="19"/>
      <c r="G17" s="19"/>
      <c r="H17" s="20"/>
    </row>
    <row r="18" spans="1:9">
      <c r="A18" s="7" t="s">
        <v>79</v>
      </c>
      <c r="B18" s="9"/>
      <c r="C18" s="9"/>
      <c r="D18" s="9"/>
      <c r="E18" s="9"/>
      <c r="F18" s="9"/>
      <c r="G18" s="3"/>
    </row>
    <row r="19" spans="1:9">
      <c r="A19" s="7" t="s">
        <v>80</v>
      </c>
      <c r="B19" s="64"/>
      <c r="C19" s="7"/>
      <c r="D19" s="7"/>
      <c r="E19" s="7"/>
      <c r="F19" s="7"/>
      <c r="G19" s="7"/>
      <c r="H19" s="7"/>
    </row>
    <row r="20" spans="1:9">
      <c r="B20" s="21"/>
    </row>
    <row r="21" spans="1:9" ht="78.75">
      <c r="A21" s="65" t="s">
        <v>74</v>
      </c>
      <c r="B21" s="65" t="s">
        <v>75</v>
      </c>
      <c r="C21" s="11" t="s">
        <v>68</v>
      </c>
      <c r="D21" s="16" t="s">
        <v>57</v>
      </c>
      <c r="E21" s="11" t="s">
        <v>58</v>
      </c>
      <c r="F21" s="11" t="s">
        <v>69</v>
      </c>
      <c r="G21" s="11" t="s">
        <v>77</v>
      </c>
      <c r="H21" s="16" t="s">
        <v>81</v>
      </c>
      <c r="I21" s="16" t="s">
        <v>82</v>
      </c>
    </row>
    <row r="22" spans="1:9">
      <c r="A22" s="1">
        <v>1</v>
      </c>
      <c r="B22" s="1" t="s">
        <v>49</v>
      </c>
      <c r="C22" s="1">
        <v>126</v>
      </c>
      <c r="D22" s="16"/>
      <c r="E22" s="1">
        <v>15372</v>
      </c>
      <c r="F22" s="63">
        <f t="shared" ref="F22:F30" si="0">E22/$E$30</f>
        <v>0.37264822172714646</v>
      </c>
      <c r="G22" s="63">
        <f t="shared" ref="G22:G30" si="1">C22/$C$30</f>
        <v>5.4427645788336934E-2</v>
      </c>
      <c r="H22" s="66"/>
      <c r="I22" s="66"/>
    </row>
    <row r="23" spans="1:9">
      <c r="A23" s="1">
        <v>2</v>
      </c>
      <c r="B23" s="1" t="s">
        <v>47</v>
      </c>
      <c r="C23" s="1">
        <v>108</v>
      </c>
      <c r="D23" s="16"/>
      <c r="E23" s="1">
        <v>9363.6</v>
      </c>
      <c r="F23" s="63">
        <f t="shared" si="0"/>
        <v>0.2269925116422267</v>
      </c>
      <c r="G23" s="63">
        <f t="shared" si="1"/>
        <v>4.6652267818574511E-2</v>
      </c>
      <c r="H23" s="66"/>
      <c r="I23" s="66"/>
    </row>
    <row r="24" spans="1:9">
      <c r="A24" s="1">
        <v>3</v>
      </c>
      <c r="B24" s="1" t="s">
        <v>45</v>
      </c>
      <c r="C24" s="1">
        <v>345</v>
      </c>
      <c r="D24" s="16"/>
      <c r="E24" s="1">
        <v>4657.5</v>
      </c>
      <c r="F24" s="63">
        <f t="shared" si="0"/>
        <v>0.11290717490854701</v>
      </c>
      <c r="G24" s="63">
        <f t="shared" si="1"/>
        <v>0.14902807775377969</v>
      </c>
      <c r="H24" s="66"/>
      <c r="I24" s="66"/>
    </row>
    <row r="25" spans="1:9">
      <c r="A25" s="1">
        <v>4</v>
      </c>
      <c r="B25" s="1" t="s">
        <v>43</v>
      </c>
      <c r="C25" s="1">
        <v>218</v>
      </c>
      <c r="D25" s="16"/>
      <c r="E25" s="1">
        <v>3313.6</v>
      </c>
      <c r="F25" s="63">
        <f t="shared" si="0"/>
        <v>8.0328333822213924E-2</v>
      </c>
      <c r="G25" s="63">
        <f t="shared" si="1"/>
        <v>9.4168466522678185E-2</v>
      </c>
      <c r="H25" s="66"/>
      <c r="I25" s="66"/>
    </row>
    <row r="26" spans="1:9">
      <c r="A26" s="1">
        <v>5</v>
      </c>
      <c r="B26" s="1" t="s">
        <v>48</v>
      </c>
      <c r="C26" s="1">
        <v>186</v>
      </c>
      <c r="D26" s="16"/>
      <c r="E26" s="1">
        <v>2566.8000000000002</v>
      </c>
      <c r="F26" s="63">
        <f t="shared" si="0"/>
        <v>6.2224398616265914E-2</v>
      </c>
      <c r="G26" s="63">
        <f t="shared" si="1"/>
        <v>8.0345572354211664E-2</v>
      </c>
      <c r="H26" s="66"/>
      <c r="I26" s="66"/>
    </row>
    <row r="27" spans="1:9">
      <c r="A27" s="1">
        <v>6</v>
      </c>
      <c r="B27" s="1" t="s">
        <v>50</v>
      </c>
      <c r="C27" s="1">
        <v>180</v>
      </c>
      <c r="D27" s="16"/>
      <c r="E27" s="1">
        <v>1890</v>
      </c>
      <c r="F27" s="63">
        <f t="shared" si="0"/>
        <v>4.5817404310714731E-2</v>
      </c>
      <c r="G27" s="63">
        <f t="shared" si="1"/>
        <v>7.775377969762419E-2</v>
      </c>
      <c r="H27" s="66"/>
      <c r="I27" s="66"/>
    </row>
    <row r="28" spans="1:9">
      <c r="A28" s="1">
        <v>7</v>
      </c>
      <c r="B28" s="1" t="s">
        <v>44</v>
      </c>
      <c r="C28" s="1">
        <v>552</v>
      </c>
      <c r="D28" s="16"/>
      <c r="E28" s="1">
        <v>1987.2</v>
      </c>
      <c r="F28" s="63">
        <f t="shared" si="0"/>
        <v>4.8173727960980059E-2</v>
      </c>
      <c r="G28" s="63">
        <f t="shared" si="1"/>
        <v>0.2384449244060475</v>
      </c>
      <c r="H28" s="66"/>
      <c r="I28" s="66"/>
    </row>
    <row r="29" spans="1:9">
      <c r="A29" s="1">
        <v>8</v>
      </c>
      <c r="B29" s="1" t="s">
        <v>46</v>
      </c>
      <c r="C29" s="1">
        <v>600</v>
      </c>
      <c r="D29" s="16"/>
      <c r="E29" s="1">
        <v>2100</v>
      </c>
      <c r="F29" s="63">
        <f t="shared" si="0"/>
        <v>5.0908227011905255E-2</v>
      </c>
      <c r="G29" s="63">
        <f t="shared" si="1"/>
        <v>0.25917926565874733</v>
      </c>
      <c r="H29" s="66"/>
      <c r="I29" s="66"/>
    </row>
    <row r="30" spans="1:9">
      <c r="A30" s="90" t="s">
        <v>53</v>
      </c>
      <c r="B30" s="90"/>
      <c r="C30" s="1">
        <v>2315</v>
      </c>
      <c r="D30" s="11"/>
      <c r="E30" s="1">
        <f>SUM(E22:E29)</f>
        <v>41250.699999999997</v>
      </c>
      <c r="F30" s="63">
        <f t="shared" si="0"/>
        <v>1</v>
      </c>
      <c r="G30" s="63">
        <f t="shared" si="1"/>
        <v>1</v>
      </c>
      <c r="H30" s="1"/>
      <c r="I30" s="1"/>
    </row>
    <row r="32" spans="1:9">
      <c r="A32" s="7" t="s">
        <v>83</v>
      </c>
      <c r="B32" s="7"/>
      <c r="C32" s="7"/>
      <c r="D32" s="7"/>
      <c r="E32" s="7"/>
      <c r="F32" s="7"/>
      <c r="G32" s="7"/>
    </row>
    <row r="34" spans="1:4" ht="63.75" customHeight="1">
      <c r="A34" s="37"/>
      <c r="B34" s="16" t="s">
        <v>87</v>
      </c>
      <c r="C34" s="16" t="s">
        <v>70</v>
      </c>
      <c r="D34" s="16" t="s">
        <v>88</v>
      </c>
    </row>
    <row r="35" spans="1:4">
      <c r="A35" s="14" t="s">
        <v>84</v>
      </c>
      <c r="B35" s="56"/>
      <c r="C35" s="67"/>
      <c r="D35" s="67"/>
    </row>
    <row r="36" spans="1:4">
      <c r="A36" s="14" t="s">
        <v>85</v>
      </c>
      <c r="B36" s="56"/>
      <c r="C36" s="67"/>
      <c r="D36" s="67"/>
    </row>
    <row r="37" spans="1:4">
      <c r="A37" s="14" t="s">
        <v>86</v>
      </c>
      <c r="B37" s="56"/>
      <c r="C37" s="67"/>
      <c r="D37" s="67"/>
    </row>
    <row r="38" spans="1:4">
      <c r="A38" s="72" t="s">
        <v>115</v>
      </c>
      <c r="B38" s="37"/>
      <c r="C38" s="67"/>
      <c r="D38" s="67"/>
    </row>
  </sheetData>
  <mergeCells count="2">
    <mergeCell ref="A15:B15"/>
    <mergeCell ref="A30:B3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7"/>
  <sheetViews>
    <sheetView tabSelected="1" topLeftCell="A40" workbookViewId="0">
      <selection activeCell="A63" sqref="A63"/>
    </sheetView>
  </sheetViews>
  <sheetFormatPr baseColWidth="10" defaultRowHeight="15.75"/>
  <cols>
    <col min="1" max="1" width="16" style="2" customWidth="1"/>
    <col min="2" max="2" width="13.85546875" style="2" customWidth="1"/>
    <col min="3" max="7" width="12.42578125" style="2" customWidth="1"/>
    <col min="8" max="8" width="8.7109375" style="2" customWidth="1"/>
    <col min="9" max="9" width="10.7109375" style="2" customWidth="1"/>
    <col min="10" max="10" width="13.140625" style="2" customWidth="1"/>
    <col min="11" max="12" width="10.7109375" style="2" customWidth="1"/>
    <col min="13" max="13" width="11.42578125" style="2"/>
    <col min="14" max="14" width="14" style="2" customWidth="1"/>
    <col min="15" max="16384" width="11.42578125" style="2"/>
  </cols>
  <sheetData>
    <row r="1" spans="1:8">
      <c r="A1" s="23" t="s">
        <v>4</v>
      </c>
      <c r="B1" s="23"/>
      <c r="C1" s="5"/>
      <c r="D1" s="46"/>
      <c r="E1" s="46"/>
    </row>
    <row r="2" spans="1:8">
      <c r="A2" s="4" t="s">
        <v>89</v>
      </c>
      <c r="B2" s="3"/>
      <c r="C2" s="3"/>
    </row>
    <row r="4" spans="1:8">
      <c r="A4" s="8" t="s">
        <v>90</v>
      </c>
      <c r="B4" s="12"/>
      <c r="C4" s="12"/>
      <c r="D4" s="12"/>
      <c r="E4" s="12"/>
      <c r="F4" s="12"/>
    </row>
    <row r="5" spans="1:8">
      <c r="A5" s="37"/>
      <c r="B5" s="1" t="s">
        <v>91</v>
      </c>
      <c r="C5" s="1" t="s">
        <v>92</v>
      </c>
      <c r="D5" s="1" t="s">
        <v>93</v>
      </c>
      <c r="E5" s="1" t="s">
        <v>94</v>
      </c>
      <c r="F5" s="1" t="s">
        <v>95</v>
      </c>
      <c r="G5" s="1" t="s">
        <v>96</v>
      </c>
      <c r="H5" s="1" t="s">
        <v>53</v>
      </c>
    </row>
    <row r="6" spans="1:8">
      <c r="A6" s="32" t="s">
        <v>2</v>
      </c>
      <c r="B6" s="1">
        <v>40</v>
      </c>
      <c r="C6" s="1">
        <v>70</v>
      </c>
      <c r="D6" s="1">
        <v>120</v>
      </c>
      <c r="E6" s="1">
        <v>140</v>
      </c>
      <c r="F6" s="1">
        <v>80</v>
      </c>
      <c r="G6" s="1">
        <v>50</v>
      </c>
      <c r="H6" s="1">
        <v>500</v>
      </c>
    </row>
    <row r="7" spans="1:8" ht="31.5">
      <c r="A7" s="32" t="s">
        <v>97</v>
      </c>
      <c r="B7" s="1">
        <v>20</v>
      </c>
      <c r="C7" s="1">
        <v>100</v>
      </c>
      <c r="D7" s="1">
        <v>30</v>
      </c>
      <c r="E7" s="1">
        <v>160</v>
      </c>
      <c r="F7" s="1">
        <v>20</v>
      </c>
      <c r="G7" s="1">
        <v>90</v>
      </c>
      <c r="H7" s="37"/>
    </row>
    <row r="8" spans="1:8">
      <c r="A8" s="32" t="s">
        <v>98</v>
      </c>
      <c r="B8" s="1">
        <v>120</v>
      </c>
      <c r="C8" s="37"/>
      <c r="D8" s="1">
        <v>250</v>
      </c>
      <c r="E8" s="37"/>
      <c r="F8" s="1">
        <v>150</v>
      </c>
      <c r="G8" s="37"/>
      <c r="H8" s="1">
        <v>520</v>
      </c>
    </row>
    <row r="9" spans="1:8" ht="31.5">
      <c r="A9" s="32" t="s">
        <v>99</v>
      </c>
      <c r="B9" s="1">
        <v>140</v>
      </c>
      <c r="C9" s="1">
        <v>100</v>
      </c>
      <c r="D9" s="1">
        <v>280</v>
      </c>
      <c r="E9" s="1">
        <v>160</v>
      </c>
      <c r="F9" s="1">
        <v>170</v>
      </c>
      <c r="G9" s="1">
        <v>90</v>
      </c>
      <c r="H9" s="37"/>
    </row>
    <row r="10" spans="1:8">
      <c r="A10" s="32" t="s">
        <v>0</v>
      </c>
      <c r="B10" s="1">
        <v>100</v>
      </c>
      <c r="C10" s="1">
        <v>30</v>
      </c>
      <c r="D10" s="1">
        <v>160</v>
      </c>
      <c r="E10" s="1">
        <v>20</v>
      </c>
      <c r="F10" s="1">
        <v>90</v>
      </c>
      <c r="G10" s="1">
        <v>40</v>
      </c>
      <c r="H10" s="37"/>
    </row>
    <row r="12" spans="1:8">
      <c r="A12" s="27" t="s">
        <v>100</v>
      </c>
      <c r="B12" s="12"/>
      <c r="C12" s="12"/>
      <c r="D12" s="12"/>
      <c r="E12" s="12"/>
    </row>
    <row r="13" spans="1:8">
      <c r="A13" s="111" t="s">
        <v>102</v>
      </c>
      <c r="B13" s="111"/>
      <c r="C13" s="111"/>
      <c r="D13" s="111"/>
      <c r="E13" s="111"/>
      <c r="F13" s="70">
        <v>200</v>
      </c>
    </row>
    <row r="14" spans="1:8">
      <c r="A14" s="111" t="s">
        <v>103</v>
      </c>
      <c r="B14" s="111"/>
      <c r="C14" s="111"/>
      <c r="D14" s="111"/>
      <c r="E14" s="111"/>
      <c r="F14" s="70">
        <v>10</v>
      </c>
    </row>
    <row r="15" spans="1:8">
      <c r="A15" s="111" t="s">
        <v>104</v>
      </c>
      <c r="B15" s="111"/>
      <c r="C15" s="111"/>
      <c r="D15" s="111"/>
      <c r="E15" s="111"/>
      <c r="F15" s="71">
        <v>0.05</v>
      </c>
    </row>
    <row r="17" spans="1:10">
      <c r="A17" s="68" t="s">
        <v>101</v>
      </c>
      <c r="B17" s="69"/>
      <c r="C17" s="69"/>
      <c r="D17" s="19"/>
      <c r="E17" s="19"/>
      <c r="F17" s="19"/>
      <c r="G17" s="19"/>
      <c r="H17" s="20"/>
    </row>
    <row r="18" spans="1:10">
      <c r="A18" s="88" t="s">
        <v>105</v>
      </c>
      <c r="B18" s="112"/>
      <c r="C18" s="89"/>
      <c r="D18" s="74">
        <v>260</v>
      </c>
    </row>
    <row r="19" spans="1:10">
      <c r="A19" s="88" t="s">
        <v>106</v>
      </c>
      <c r="B19" s="112"/>
      <c r="C19" s="89"/>
      <c r="D19" s="73">
        <v>0.05</v>
      </c>
    </row>
    <row r="21" spans="1:10">
      <c r="A21" s="7" t="s">
        <v>118</v>
      </c>
      <c r="B21" s="7"/>
      <c r="C21" s="7"/>
      <c r="D21" s="7"/>
      <c r="E21" s="7"/>
      <c r="F21" s="7"/>
      <c r="G21" s="7"/>
      <c r="H21" s="7"/>
      <c r="I21" s="7"/>
    </row>
    <row r="22" spans="1:10">
      <c r="A22" s="7" t="s">
        <v>119</v>
      </c>
      <c r="B22" s="7"/>
      <c r="C22" s="7"/>
      <c r="D22" s="7"/>
      <c r="E22" s="7"/>
      <c r="F22" s="7"/>
      <c r="G22" s="7"/>
      <c r="H22" s="7"/>
      <c r="I22" s="7"/>
      <c r="J22" s="9"/>
    </row>
    <row r="24" spans="1:10">
      <c r="A24" s="7" t="s">
        <v>108</v>
      </c>
      <c r="B24" s="9"/>
    </row>
    <row r="25" spans="1:10">
      <c r="A25" s="37"/>
      <c r="B25" s="13" t="s">
        <v>91</v>
      </c>
      <c r="C25" s="13" t="s">
        <v>92</v>
      </c>
      <c r="D25" s="13" t="s">
        <v>93</v>
      </c>
      <c r="E25" s="13" t="s">
        <v>94</v>
      </c>
      <c r="F25" s="13" t="s">
        <v>95</v>
      </c>
      <c r="G25" s="13" t="s">
        <v>96</v>
      </c>
    </row>
    <row r="26" spans="1:10" ht="31.5">
      <c r="A26" s="32" t="s">
        <v>99</v>
      </c>
      <c r="B26" s="1"/>
      <c r="C26" s="1"/>
      <c r="D26" s="1"/>
      <c r="E26" s="1"/>
      <c r="F26" s="1"/>
      <c r="G26" s="1"/>
    </row>
    <row r="27" spans="1:10">
      <c r="A27" s="75" t="s">
        <v>0</v>
      </c>
      <c r="B27" s="1"/>
      <c r="C27" s="1"/>
      <c r="D27" s="1"/>
      <c r="E27" s="1"/>
      <c r="F27" s="1"/>
      <c r="G27" s="1"/>
      <c r="I27" s="109" t="s">
        <v>110</v>
      </c>
      <c r="J27" s="109"/>
    </row>
    <row r="28" spans="1:10" ht="78.75" customHeight="1">
      <c r="A28" s="43" t="s">
        <v>109</v>
      </c>
      <c r="B28" s="1"/>
      <c r="C28" s="1"/>
      <c r="D28" s="1"/>
      <c r="E28" s="1"/>
      <c r="F28" s="1"/>
      <c r="G28" s="1"/>
      <c r="I28" s="110"/>
      <c r="J28" s="110"/>
    </row>
    <row r="29" spans="1:10" ht="16.5" thickBot="1"/>
    <row r="30" spans="1:10" ht="16.5" thickBot="1">
      <c r="A30" s="31" t="s">
        <v>24</v>
      </c>
      <c r="B30" s="3"/>
      <c r="C30" s="79"/>
      <c r="E30" s="53"/>
    </row>
    <row r="31" spans="1:10" ht="16.5" thickBot="1">
      <c r="A31" s="3"/>
      <c r="B31" s="3"/>
    </row>
    <row r="32" spans="1:10" ht="16.5" thickBot="1">
      <c r="A32" s="31" t="s">
        <v>111</v>
      </c>
      <c r="B32" s="3"/>
      <c r="C32" s="79"/>
      <c r="D32" s="2" t="s">
        <v>114</v>
      </c>
      <c r="E32" s="76"/>
    </row>
    <row r="33" spans="1:8">
      <c r="E33" s="76"/>
    </row>
    <row r="34" spans="1:8">
      <c r="B34" s="31"/>
      <c r="C34" s="31"/>
      <c r="D34" s="31"/>
      <c r="E34" s="77"/>
      <c r="F34" s="3"/>
    </row>
    <row r="36" spans="1:8">
      <c r="A36" s="7" t="s">
        <v>107</v>
      </c>
      <c r="B36" s="9"/>
      <c r="C36" s="9"/>
      <c r="D36" s="9"/>
      <c r="E36" s="9"/>
      <c r="F36" s="9"/>
    </row>
    <row r="38" spans="1:8">
      <c r="A38" s="37" t="s">
        <v>35</v>
      </c>
      <c r="B38" s="37"/>
      <c r="C38" s="80"/>
    </row>
    <row r="39" spans="1:8">
      <c r="A39" s="37" t="s">
        <v>36</v>
      </c>
      <c r="B39" s="37"/>
      <c r="C39" s="81"/>
      <c r="D39" s="78"/>
    </row>
    <row r="40" spans="1:8">
      <c r="A40" s="37" t="s">
        <v>37</v>
      </c>
      <c r="B40" s="37"/>
      <c r="C40" s="81"/>
    </row>
    <row r="42" spans="1:8">
      <c r="A42" s="7" t="s">
        <v>120</v>
      </c>
      <c r="B42" s="9"/>
      <c r="C42" s="9"/>
      <c r="D42" s="9"/>
      <c r="E42" s="9"/>
      <c r="F42" s="9"/>
      <c r="G42" s="9"/>
      <c r="H42" s="9"/>
    </row>
    <row r="43" spans="1:8">
      <c r="A43" s="56"/>
      <c r="B43" s="13" t="s">
        <v>91</v>
      </c>
      <c r="C43" s="13" t="s">
        <v>92</v>
      </c>
      <c r="D43" s="13" t="s">
        <v>93</v>
      </c>
      <c r="E43" s="13" t="s">
        <v>94</v>
      </c>
      <c r="F43" s="13" t="s">
        <v>95</v>
      </c>
      <c r="G43" s="13" t="s">
        <v>96</v>
      </c>
      <c r="H43" s="13" t="s">
        <v>53</v>
      </c>
    </row>
    <row r="44" spans="1:8">
      <c r="A44" s="14" t="s">
        <v>6</v>
      </c>
      <c r="B44" s="35"/>
      <c r="C44" s="35"/>
      <c r="D44" s="35"/>
      <c r="E44" s="35"/>
      <c r="F44" s="35"/>
      <c r="G44" s="35"/>
      <c r="H44" s="35"/>
    </row>
    <row r="45" spans="1:8" ht="31.5">
      <c r="A45" s="14" t="s">
        <v>97</v>
      </c>
      <c r="B45" s="35"/>
      <c r="C45" s="35"/>
      <c r="D45" s="35"/>
      <c r="E45" s="35"/>
      <c r="F45" s="35"/>
      <c r="G45" s="35"/>
      <c r="H45" s="56"/>
    </row>
    <row r="46" spans="1:8">
      <c r="A46" s="14" t="s">
        <v>98</v>
      </c>
      <c r="B46" s="35"/>
      <c r="C46" s="35"/>
      <c r="D46" s="35"/>
      <c r="E46" s="35"/>
      <c r="F46" s="56"/>
      <c r="G46" s="56"/>
      <c r="H46" s="35"/>
    </row>
    <row r="47" spans="1:8" ht="31.5">
      <c r="A47" s="14" t="s">
        <v>99</v>
      </c>
      <c r="B47" s="35"/>
      <c r="C47" s="35"/>
      <c r="D47" s="35"/>
      <c r="E47" s="35"/>
      <c r="F47" s="35"/>
      <c r="G47" s="35"/>
      <c r="H47" s="56"/>
    </row>
    <row r="48" spans="1:8">
      <c r="A48" s="14" t="s">
        <v>0</v>
      </c>
      <c r="B48" s="40"/>
      <c r="C48" s="35"/>
      <c r="D48" s="35"/>
      <c r="E48" s="35"/>
      <c r="F48" s="35"/>
      <c r="G48" s="35"/>
      <c r="H48" s="56"/>
    </row>
    <row r="50" spans="1:10">
      <c r="A50" s="7" t="s">
        <v>121</v>
      </c>
      <c r="B50" s="7"/>
      <c r="C50" s="7"/>
      <c r="D50" s="7"/>
      <c r="E50" s="7"/>
      <c r="F50" s="7"/>
      <c r="G50" s="7"/>
      <c r="H50" s="7"/>
    </row>
    <row r="52" spans="1:10">
      <c r="A52" s="85" t="s">
        <v>108</v>
      </c>
      <c r="B52" s="85"/>
      <c r="C52" s="15"/>
      <c r="D52" s="15"/>
      <c r="E52" s="15"/>
      <c r="F52" s="15"/>
      <c r="G52" s="15"/>
      <c r="H52" s="15"/>
      <c r="I52" s="15"/>
      <c r="J52" s="15"/>
    </row>
    <row r="53" spans="1:10">
      <c r="A53" s="6"/>
      <c r="B53" s="16" t="s">
        <v>91</v>
      </c>
      <c r="C53" s="16" t="s">
        <v>92</v>
      </c>
      <c r="D53" s="16" t="s">
        <v>93</v>
      </c>
      <c r="E53" s="16" t="s">
        <v>94</v>
      </c>
      <c r="F53" s="16" t="s">
        <v>95</v>
      </c>
      <c r="G53" s="16" t="s">
        <v>96</v>
      </c>
      <c r="H53" s="15"/>
      <c r="I53" s="15"/>
      <c r="J53" s="15"/>
    </row>
    <row r="54" spans="1:10" ht="31.5">
      <c r="A54" s="6" t="s">
        <v>99</v>
      </c>
      <c r="B54" s="11"/>
      <c r="C54" s="11"/>
      <c r="D54" s="11"/>
      <c r="E54" s="11"/>
      <c r="F54" s="11"/>
      <c r="G54" s="11"/>
      <c r="H54" s="15"/>
      <c r="I54" s="15"/>
      <c r="J54" s="15"/>
    </row>
    <row r="55" spans="1:10">
      <c r="A55" s="6" t="s">
        <v>112</v>
      </c>
      <c r="B55" s="11"/>
      <c r="C55" s="11"/>
      <c r="D55" s="11"/>
      <c r="E55" s="11"/>
      <c r="F55" s="11"/>
      <c r="G55" s="11"/>
      <c r="H55" s="15"/>
      <c r="I55" s="106" t="s">
        <v>110</v>
      </c>
      <c r="J55" s="107"/>
    </row>
    <row r="56" spans="1:10" ht="31.5">
      <c r="A56" s="14" t="s">
        <v>113</v>
      </c>
      <c r="B56" s="1"/>
      <c r="C56" s="1"/>
      <c r="D56" s="1"/>
      <c r="E56" s="1"/>
      <c r="F56" s="1"/>
      <c r="G56" s="1"/>
      <c r="H56" s="15"/>
      <c r="I56" s="108"/>
      <c r="J56" s="108"/>
    </row>
    <row r="57" spans="1:10" ht="16.5" thickBot="1"/>
    <row r="58" spans="1:10" ht="16.5" thickBot="1">
      <c r="A58" s="85" t="s">
        <v>116</v>
      </c>
      <c r="B58" s="85"/>
      <c r="C58" s="82"/>
    </row>
    <row r="59" spans="1:10" ht="16.5" thickBot="1">
      <c r="A59" s="86"/>
      <c r="B59" s="86"/>
      <c r="C59" s="15"/>
    </row>
    <row r="60" spans="1:10" ht="16.5" thickBot="1">
      <c r="A60" s="85" t="s">
        <v>117</v>
      </c>
      <c r="B60" s="85"/>
      <c r="C60" s="82"/>
      <c r="D60" s="2" t="s">
        <v>114</v>
      </c>
    </row>
    <row r="61" spans="1:10">
      <c r="A61" s="15"/>
      <c r="B61" s="15"/>
      <c r="C61" s="15"/>
    </row>
    <row r="62" spans="1:10">
      <c r="A62" s="15"/>
      <c r="B62" s="52"/>
      <c r="C62" s="52"/>
    </row>
    <row r="63" spans="1:10">
      <c r="A63" s="7" t="s">
        <v>122</v>
      </c>
      <c r="B63" s="7"/>
      <c r="C63" s="7"/>
      <c r="D63" s="7"/>
      <c r="E63" s="7"/>
      <c r="F63" s="7"/>
      <c r="G63" s="7"/>
    </row>
    <row r="65" spans="1:3">
      <c r="A65" s="102" t="s">
        <v>35</v>
      </c>
      <c r="B65" s="103"/>
      <c r="C65" s="83"/>
    </row>
    <row r="66" spans="1:3">
      <c r="A66" s="102" t="s">
        <v>36</v>
      </c>
      <c r="B66" s="103"/>
      <c r="C66" s="84"/>
    </row>
    <row r="67" spans="1:3">
      <c r="A67" s="104" t="s">
        <v>37</v>
      </c>
      <c r="B67" s="105"/>
      <c r="C67" s="84"/>
    </row>
  </sheetData>
  <mergeCells count="12">
    <mergeCell ref="I27:J27"/>
    <mergeCell ref="I28:J28"/>
    <mergeCell ref="A13:E13"/>
    <mergeCell ref="A14:E14"/>
    <mergeCell ref="A15:E15"/>
    <mergeCell ref="A18:C18"/>
    <mergeCell ref="A19:C19"/>
    <mergeCell ref="A65:B65"/>
    <mergeCell ref="A66:B66"/>
    <mergeCell ref="A67:B67"/>
    <mergeCell ref="I55:J55"/>
    <mergeCell ref="I56:J5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Exercice 2 - Chap4</vt:lpstr>
      <vt:lpstr>Exercice 4 - Chap 4</vt:lpstr>
      <vt:lpstr>Exercice 5 - Chap4</vt:lpstr>
      <vt:lpstr>Exercice 6 - Chap4 </vt:lpstr>
      <vt:lpstr>Exercice 7- Chap4 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COIC</dc:creator>
  <cp:lastModifiedBy>Véronique Dupas</cp:lastModifiedBy>
  <dcterms:created xsi:type="dcterms:W3CDTF">2019-01-13T10:34:42Z</dcterms:created>
  <dcterms:modified xsi:type="dcterms:W3CDTF">2021-11-26T17:31:18Z</dcterms:modified>
</cp:coreProperties>
</file>